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40" windowHeight="1238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<sst xmlns="http://schemas.openxmlformats.org/spreadsheetml/2006/main" count="37" uniqueCount="32">
  <si>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地形地貌汇总表</t>
  </si>
  <si>
    <t>2024年</t>
  </si>
  <si>
    <r>
      <rPr>
        <sz val="11"/>
        <color theme="1"/>
        <rFont val="宋体"/>
        <charset val="134"/>
        <scheme val="minor"/>
      </rPr>
      <t>1.普查所在行政区名称：</t>
    </r>
    <r>
      <rPr>
        <u/>
        <sz val="11"/>
        <color theme="1"/>
        <rFont val="宋体"/>
        <charset val="134"/>
        <scheme val="minor"/>
      </rPr>
      <t>广西壮族自治区</t>
    </r>
  </si>
  <si>
    <t>2.行政区划代码：450000</t>
  </si>
  <si>
    <t>统计单元代码</t>
  </si>
  <si>
    <t>统计单元名称</t>
  </si>
  <si>
    <t>平均高程</t>
  </si>
  <si>
    <t>最高高程</t>
  </si>
  <si>
    <t>最低高程</t>
  </si>
  <si>
    <t>地貌类型单元面积</t>
  </si>
  <si>
    <t>米</t>
  </si>
  <si>
    <t>面积</t>
  </si>
  <si>
    <t>平原</t>
  </si>
  <si>
    <t>山地</t>
  </si>
  <si>
    <t>丘陵</t>
  </si>
  <si>
    <t>台地</t>
  </si>
  <si>
    <t>平方米</t>
  </si>
  <si>
    <t>广西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</si>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</sst>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地貌分类面积占比</a:t>
            </a:r>
            <a:endParaRPr lang="en-US" altLang="zh-CN" sz="1400" b="0" i="0" u="none" strike="noStrike" baseline="0">
              <a:solidFill>
                <a:srgbClr val="595959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573265781722396"/>
                  <c:y val="0.0052320078215083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rgbClr val="969696">
                          <a:alpha val="100000"/>
                        </a:srgb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[1]Sheet1!$C$1:$F$1</c:f>
              <c:strCache>
                <c:ptCount val="4"/>
                <c:pt idx="0">
                  <c:v>平原</c:v>
                </c:pt>
                <c:pt idx="1">
                  <c:v>台地</c:v>
                </c:pt>
                <c:pt idx="2">
                  <c:v>丘陵</c:v>
                </c:pt>
                <c:pt idx="3">
                  <c:v>山地</c:v>
                </c:pt>
              </c:strCache>
            </c:strRef>
          </c:cat>
          <c:val>
            <c:numRef>
              <c:f>[1]Sheet1!$C$16:$F$16</c:f>
              <c:numCache>
                <c:formatCode>General</c:formatCode>
                <c:ptCount val="4"/>
                <c:pt idx="0">
                  <c:v>15297180327.7158</c:v>
                </c:pt>
                <c:pt idx="1">
                  <c:v>277912158.650363</c:v>
                </c:pt>
                <c:pt idx="2">
                  <c:v>89830985920.2419</c:v>
                </c:pt>
                <c:pt idx="3">
                  <c:v>131765814446.501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30480</xdr:colOff>
      <xdr:row>26</xdr:row>
      <xdr:rowOff>119380</xdr:rowOff>
    </xdr:from>
    <xdr:to>
      <xdr:col>9</xdr:col>
      <xdr:colOff>38100</xdr:colOff>
      <xdr:row>41</xdr:row>
      <xdr:rowOff>119380</xdr:rowOff>
    </xdr:to>
    <xdr:graphicFrame>
      <xdr:nvGraphicFramePr>
        <xdr:cNvPr id="2" name="图表 3"/>
        <xdr:cNvGraphicFramePr/>
      </xdr:nvGraphicFramePr>
      <xdr:xfrm>
        <a:off x="5193030" y="5148580"/>
        <a:ext cx="465645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320;&#35980;&#32479;&#3574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平原</v>
          </cell>
          <cell r="D1" t="str">
            <v>台地</v>
          </cell>
          <cell r="E1" t="str">
            <v>丘陵</v>
          </cell>
          <cell r="F1" t="str">
            <v>山地</v>
          </cell>
        </row>
        <row r="16">
          <cell r="C16">
            <v>15297180327.7158</v>
          </cell>
          <cell r="D16">
            <v>277912158.650363</v>
          </cell>
          <cell r="E16">
            <v>89830985920.2419</v>
          </cell>
          <cell r="F16">
            <v>131765814446.501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topLeftCell="C1" workbookViewId="0">
      <selection activeCell="G21" sqref="G21"/>
    </sheetView>
  </sheetViews>
  <sheetFormatPr defaultColWidth="10.7818181818182" defaultRowHeight="14"/>
  <cols>
    <col min="1" max="2" width="16.7818181818182" customWidth="1"/>
    <col min="3" max="3" width="10.7818181818182" customWidth="1"/>
    <col min="4" max="4" width="12.7818181818182" customWidth="1"/>
    <col min="5" max="6" width="16.7818181818182" customWidth="1"/>
    <col min="7" max="7" width="17" customWidth="1"/>
    <col min="8" max="8" width="17.5545454545455"/>
    <col min="9" max="9" width="15.2181818181818"/>
    <col min="10" max="10" width="12.8909090909091"/>
  </cols>
  <sheetData>
    <row r="1" ht="16" customHeight="1" spans="1:7">
      <c r="A1" s="1" t="s">
        <v>0</v>
      </c>
      <c r="B1" s="1"/>
      <c r="C1" s="1"/>
      <c r="D1" s="1"/>
      <c r="E1" s="1"/>
      <c r="F1" s="1"/>
      <c r="G1" s="1"/>
    </row>
    <row r="2" ht="16" customHeight="1" spans="4:5">
      <c r="D2" s="1" t="s">
        <v>1</v>
      </c>
      <c r="E2" s="1"/>
    </row>
    <row r="3" ht="16" customHeight="1" spans="1:3">
      <c r="A3" s="2" t="s">
        <v>2</v>
      </c>
      <c r="B3" s="2"/>
      <c r="C3" s="2"/>
    </row>
    <row r="4" ht="16" customHeight="1" spans="1:2">
      <c r="A4" s="3" t="s">
        <v>3</v>
      </c>
      <c r="B4" s="3"/>
    </row>
    <row r="5" ht="20" customHeight="1" spans="1:14">
      <c r="A5" s="4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6"/>
      <c r="H5" s="6"/>
      <c r="I5" s="6"/>
      <c r="J5" s="16"/>
      <c r="K5" s="16"/>
      <c r="L5" s="16"/>
      <c r="M5" s="16"/>
      <c r="N5" s="16"/>
    </row>
    <row r="6" ht="20" customHeight="1" spans="1:14">
      <c r="A6" s="7"/>
      <c r="B6" s="7"/>
      <c r="C6" s="5" t="s">
        <v>10</v>
      </c>
      <c r="D6" s="5" t="s">
        <v>10</v>
      </c>
      <c r="E6" s="5" t="s">
        <v>10</v>
      </c>
      <c r="F6" s="6" t="s">
        <v>11</v>
      </c>
      <c r="G6" s="6"/>
      <c r="H6" s="6"/>
      <c r="I6" s="6"/>
      <c r="J6" s="16"/>
      <c r="K6" s="16"/>
      <c r="L6" s="16"/>
      <c r="M6" s="16"/>
      <c r="N6" s="16"/>
    </row>
    <row r="7" ht="16" customHeight="1" spans="1:13">
      <c r="A7" s="7"/>
      <c r="B7" s="7"/>
      <c r="C7" s="4">
        <v>1</v>
      </c>
      <c r="D7" s="4">
        <v>2</v>
      </c>
      <c r="E7" s="4">
        <v>3</v>
      </c>
      <c r="F7" s="6" t="s">
        <v>12</v>
      </c>
      <c r="G7" s="6" t="s">
        <v>13</v>
      </c>
      <c r="H7" s="6" t="s">
        <v>14</v>
      </c>
      <c r="I7" s="6" t="s">
        <v>15</v>
      </c>
      <c r="J7" s="16"/>
      <c r="K7" s="16"/>
      <c r="L7" s="16"/>
      <c r="M7" s="16"/>
    </row>
    <row r="8" ht="16" customHeight="1" spans="1:13">
      <c r="A8" s="7"/>
      <c r="B8" s="7"/>
      <c r="C8" s="7"/>
      <c r="D8" s="7"/>
      <c r="E8" s="7"/>
      <c r="F8" s="6" t="s">
        <v>16</v>
      </c>
      <c r="G8" s="6" t="s">
        <v>16</v>
      </c>
      <c r="H8" s="6" t="s">
        <v>16</v>
      </c>
      <c r="I8" s="6" t="s">
        <v>16</v>
      </c>
      <c r="J8" s="16"/>
      <c r="K8" s="16"/>
      <c r="L8" s="16"/>
      <c r="M8" s="16"/>
    </row>
    <row r="9" ht="16" customHeight="1" spans="1:13">
      <c r="A9" s="8"/>
      <c r="B9" s="8"/>
      <c r="C9" s="8"/>
      <c r="D9" s="8"/>
      <c r="E9" s="8"/>
      <c r="F9" s="6">
        <v>5</v>
      </c>
      <c r="G9" s="6">
        <v>6</v>
      </c>
      <c r="H9" s="6">
        <v>7</v>
      </c>
      <c r="I9" s="6">
        <v>8</v>
      </c>
      <c r="J9" s="17"/>
      <c r="K9" s="17"/>
      <c r="L9" s="17"/>
      <c r="M9" s="17"/>
    </row>
    <row r="10" ht="16" customHeight="1" spans="1:13">
      <c r="A10" s="5">
        <v>1</v>
      </c>
      <c r="B10" s="5" t="s">
        <v>17</v>
      </c>
      <c r="C10" s="9">
        <v>744.9</v>
      </c>
      <c r="D10" s="10">
        <v>2120</v>
      </c>
      <c r="E10" s="10">
        <v>-47</v>
      </c>
      <c r="F10" s="11">
        <v>15297180328</v>
      </c>
      <c r="G10" s="11">
        <v>131765814446.5</v>
      </c>
      <c r="H10" s="11">
        <v>89830985920</v>
      </c>
      <c r="I10" s="11">
        <v>277912158.7</v>
      </c>
      <c r="J10" s="10">
        <f>SUM(F10:I10)</f>
        <v>237171892853.2</v>
      </c>
      <c r="K10" s="18"/>
      <c r="L10" s="18"/>
      <c r="M10" s="18"/>
    </row>
    <row r="11" ht="16" customHeight="1" spans="1:13">
      <c r="A11" s="5">
        <v>2</v>
      </c>
      <c r="B11" s="5" t="s">
        <v>18</v>
      </c>
      <c r="C11" s="9">
        <v>32.4</v>
      </c>
      <c r="D11" s="10">
        <v>2050</v>
      </c>
      <c r="E11" s="10">
        <v>79</v>
      </c>
      <c r="F11" s="12">
        <v>210527233.834267</v>
      </c>
      <c r="G11" s="13">
        <v>31330205007.0226</v>
      </c>
      <c r="H11" s="13">
        <v>4894800737.86817</v>
      </c>
      <c r="I11" s="12">
        <v>2828643.10329775</v>
      </c>
      <c r="J11" s="18"/>
      <c r="K11" s="18"/>
      <c r="L11" s="18"/>
      <c r="M11" s="18"/>
    </row>
    <row r="12" ht="16" customHeight="1" spans="1:13">
      <c r="A12" s="5">
        <v>3</v>
      </c>
      <c r="B12" s="5" t="s">
        <v>19</v>
      </c>
      <c r="C12" s="9">
        <v>323.18</v>
      </c>
      <c r="D12" s="10">
        <v>514</v>
      </c>
      <c r="E12" s="10">
        <v>-13</v>
      </c>
      <c r="F12" s="12">
        <v>2340065925.90551</v>
      </c>
      <c r="G12" s="13">
        <v>19695136.7937351</v>
      </c>
      <c r="H12" s="13">
        <v>1115782181.82977</v>
      </c>
      <c r="I12" s="12">
        <v>0</v>
      </c>
      <c r="J12" s="18"/>
      <c r="K12" s="18"/>
      <c r="L12" s="18"/>
      <c r="M12" s="18"/>
    </row>
    <row r="13" spans="1:9">
      <c r="A13" s="5">
        <v>4</v>
      </c>
      <c r="B13" s="5" t="s">
        <v>20</v>
      </c>
      <c r="C13" s="9">
        <v>273.93</v>
      </c>
      <c r="D13" s="10">
        <v>1358</v>
      </c>
      <c r="E13" s="10">
        <v>-7</v>
      </c>
      <c r="F13" s="12">
        <v>388415654.553977</v>
      </c>
      <c r="G13" s="13">
        <v>7777163745.14488</v>
      </c>
      <c r="H13" s="13">
        <v>9246955879.59883</v>
      </c>
      <c r="I13" s="12">
        <v>5649181.21203018</v>
      </c>
    </row>
    <row r="14" spans="1:9">
      <c r="A14" s="5">
        <v>5</v>
      </c>
      <c r="B14" s="5" t="s">
        <v>21</v>
      </c>
      <c r="C14" s="9">
        <v>156.17</v>
      </c>
      <c r="D14" s="10">
        <v>1424</v>
      </c>
      <c r="E14" s="10">
        <v>-47</v>
      </c>
      <c r="F14" s="12">
        <v>425390639.760981</v>
      </c>
      <c r="G14" s="13">
        <v>2566049384.37585</v>
      </c>
      <c r="H14" s="13">
        <v>3015365968.09366</v>
      </c>
      <c r="I14" s="12">
        <v>9280218.77729492</v>
      </c>
    </row>
    <row r="15" spans="1:9">
      <c r="A15" s="5">
        <v>6</v>
      </c>
      <c r="B15" s="5" t="s">
        <v>22</v>
      </c>
      <c r="C15" s="9">
        <v>530.24</v>
      </c>
      <c r="D15" s="10">
        <v>1455</v>
      </c>
      <c r="E15" s="10">
        <v>12</v>
      </c>
      <c r="F15" s="12">
        <v>3276233323.17315</v>
      </c>
      <c r="G15" s="13">
        <v>2533840135.97326</v>
      </c>
      <c r="H15" s="13">
        <v>4801722980.28</v>
      </c>
      <c r="I15" s="12">
        <v>0</v>
      </c>
    </row>
    <row r="16" spans="1:9">
      <c r="A16" s="5">
        <v>7</v>
      </c>
      <c r="B16" s="5" t="s">
        <v>23</v>
      </c>
      <c r="C16" s="9">
        <v>545.44</v>
      </c>
      <c r="D16" s="10">
        <v>2120</v>
      </c>
      <c r="E16" s="10">
        <v>17</v>
      </c>
      <c r="F16" s="12">
        <v>845075363.347975</v>
      </c>
      <c r="G16" s="13">
        <v>19868089272.7645</v>
      </c>
      <c r="H16" s="13">
        <v>6830873209.66515</v>
      </c>
      <c r="I16" s="12">
        <v>110284661.050351</v>
      </c>
    </row>
    <row r="17" spans="1:9">
      <c r="A17" s="5">
        <v>8</v>
      </c>
      <c r="B17" s="5" t="s">
        <v>24</v>
      </c>
      <c r="C17" s="9">
        <v>387.82</v>
      </c>
      <c r="D17" s="10">
        <v>1673</v>
      </c>
      <c r="E17" s="10">
        <v>-25</v>
      </c>
      <c r="F17" s="12">
        <v>101733891.783935</v>
      </c>
      <c r="G17" s="13">
        <v>27335958320.3021</v>
      </c>
      <c r="H17" s="13">
        <v>6062211735.07904</v>
      </c>
      <c r="I17" s="12">
        <v>61938368.4681989</v>
      </c>
    </row>
    <row r="18" spans="1:9">
      <c r="A18" s="5">
        <v>9</v>
      </c>
      <c r="B18" s="5" t="s">
        <v>25</v>
      </c>
      <c r="C18" s="9">
        <v>297.71</v>
      </c>
      <c r="D18" s="10">
        <v>1833</v>
      </c>
      <c r="E18" s="10">
        <v>13</v>
      </c>
      <c r="F18" s="12">
        <v>344170489.221879</v>
      </c>
      <c r="G18" s="13">
        <v>7620737350.03415</v>
      </c>
      <c r="H18" s="13">
        <v>3707597343.92878</v>
      </c>
      <c r="I18" s="12">
        <v>81325515.4684517</v>
      </c>
    </row>
    <row r="19" spans="1:9">
      <c r="A19" s="5">
        <v>10</v>
      </c>
      <c r="B19" s="5" t="s">
        <v>26</v>
      </c>
      <c r="C19" s="9">
        <v>366.4</v>
      </c>
      <c r="D19" s="10">
        <v>1921</v>
      </c>
      <c r="E19" s="10">
        <v>24</v>
      </c>
      <c r="F19" s="12">
        <v>1031741493.18193</v>
      </c>
      <c r="G19" s="13">
        <v>5901100653.10955</v>
      </c>
      <c r="H19" s="13">
        <v>6450335609.82867</v>
      </c>
      <c r="I19" s="12">
        <v>624084.581529876</v>
      </c>
    </row>
    <row r="20" spans="1:9">
      <c r="A20" s="5">
        <v>11</v>
      </c>
      <c r="B20" s="5" t="s">
        <v>27</v>
      </c>
      <c r="C20" s="9">
        <v>214.94</v>
      </c>
      <c r="D20" s="10">
        <v>2075</v>
      </c>
      <c r="E20" s="10">
        <v>52</v>
      </c>
      <c r="F20" s="12">
        <v>470665139.402876</v>
      </c>
      <c r="G20" s="13">
        <v>10416871320.1304</v>
      </c>
      <c r="H20" s="13">
        <v>7721166337.69307</v>
      </c>
      <c r="I20" s="12">
        <v>2901588.05438566</v>
      </c>
    </row>
    <row r="21" spans="1:9">
      <c r="A21" s="5">
        <v>12</v>
      </c>
      <c r="B21" s="5" t="s">
        <v>28</v>
      </c>
      <c r="C21" s="9">
        <v>110.99</v>
      </c>
      <c r="D21" s="10">
        <v>1730</v>
      </c>
      <c r="E21" s="10">
        <v>24</v>
      </c>
      <c r="F21" s="12">
        <v>3373695882.82116</v>
      </c>
      <c r="G21" s="13"/>
      <c r="H21" s="13">
        <v>13477925142.5888</v>
      </c>
      <c r="I21" s="12">
        <v>1183329.20653717</v>
      </c>
    </row>
    <row r="22" spans="1:9">
      <c r="A22" s="5">
        <v>13</v>
      </c>
      <c r="B22" s="5" t="s">
        <v>29</v>
      </c>
      <c r="C22" s="9">
        <v>234.52</v>
      </c>
      <c r="D22" s="10">
        <v>1096</v>
      </c>
      <c r="E22" s="10">
        <v>-12</v>
      </c>
      <c r="F22" s="12">
        <v>1214298390.77127</v>
      </c>
      <c r="G22" s="13">
        <v>1948659528.35693</v>
      </c>
      <c r="H22" s="13">
        <v>7571726447.89764</v>
      </c>
      <c r="I22" s="12">
        <v>0</v>
      </c>
    </row>
    <row r="23" spans="1:9">
      <c r="A23" s="5">
        <v>14</v>
      </c>
      <c r="B23" s="5" t="s">
        <v>30</v>
      </c>
      <c r="C23" s="9">
        <v>200.74</v>
      </c>
      <c r="D23" s="10">
        <v>1217</v>
      </c>
      <c r="E23" s="10">
        <v>-6</v>
      </c>
      <c r="F23" s="12">
        <v>73747345.5498746</v>
      </c>
      <c r="G23" s="13">
        <v>5489131884.34875</v>
      </c>
      <c r="H23" s="13">
        <v>6989447428.3357</v>
      </c>
      <c r="I23" s="12">
        <v>1896568.7282856</v>
      </c>
    </row>
    <row r="24" spans="1:9">
      <c r="A24" s="5">
        <v>15</v>
      </c>
      <c r="B24" s="5" t="s">
        <v>31</v>
      </c>
      <c r="C24" s="9">
        <v>404.72</v>
      </c>
      <c r="D24" s="10">
        <v>1249</v>
      </c>
      <c r="E24" s="10">
        <v>0</v>
      </c>
      <c r="F24" s="12">
        <v>1201419554.40697</v>
      </c>
      <c r="G24" s="13">
        <v>3690471490.41225</v>
      </c>
      <c r="H24" s="13">
        <v>7945074917.55468</v>
      </c>
      <c r="I24" s="12">
        <v>0</v>
      </c>
    </row>
    <row r="25" spans="1:9">
      <c r="A25" s="14"/>
      <c r="B25" s="14"/>
      <c r="F25" s="15">
        <f>F10/$J$10</f>
        <v>0.0644982849526286</v>
      </c>
      <c r="G25" s="15">
        <f>G10/$J$10</f>
        <v>0.555570952617298</v>
      </c>
      <c r="H25" s="15">
        <f>H10/$J$10</f>
        <v>0.37875898716043</v>
      </c>
      <c r="I25" s="15">
        <f>I10/$J$10</f>
        <v>0.00117177526964385</v>
      </c>
    </row>
  </sheetData>
  <mergeCells count="11">
    <mergeCell ref="A1:G1"/>
    <mergeCell ref="D2:E2"/>
    <mergeCell ref="A3:C3"/>
    <mergeCell ref="A4:B4"/>
    <mergeCell ref="F5:I5"/>
    <mergeCell ref="F6:I6"/>
    <mergeCell ref="A5:A9"/>
    <mergeCell ref="B5:B9"/>
    <mergeCell ref="C7:C9"/>
    <mergeCell ref="D7:D9"/>
    <mergeCell ref="E7:E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WPS_1631456400</cp:lastModifiedBy>
  <dcterms:created xsi:type="dcterms:W3CDTF">2024-03-26T07:45:00Z</dcterms:created>
  <dcterms:modified xsi:type="dcterms:W3CDTF">2024-05-08T21:44:27Z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7F35D5D66B0A4A8492F5720BE2B01AF2_12</vt:lpwstr>
  </property>
</Properties>
</file>