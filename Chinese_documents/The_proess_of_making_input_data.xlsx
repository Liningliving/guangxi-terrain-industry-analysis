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study\GLUT_Homework\natural_resources\handin\地形对第一产业的影响_Chinese_documents\"/>
    </mc:Choice>
  </mc:AlternateContent>
  <xr:revisionPtr revIDLastSave="0" documentId="13_ncr:1_{B1742619-A31B-4F05-ABEF-66731C2E699D}" xr6:coauthVersionLast="47" xr6:coauthVersionMax="47" xr10:uidLastSave="{00000000-0000-0000-0000-000000000000}"/>
  <bookViews>
    <workbookView xWindow="-110" yWindow="-110" windowWidth="19420" windowHeight="12220" tabRatio="868" firstSheet="1" activeTab="1" xr2:uid="{00000000-000D-0000-FFFF-FFFF00000000}"/>
  </bookViews>
  <sheets>
    <sheet name="汇总数据" sheetId="1" r:id="rId1"/>
    <sheet name="坡度加权值" sheetId="2" r:id="rId2"/>
    <sheet name="整理后的原始数据" sheetId="4" r:id="rId3"/>
    <sheet name="z-score归一化过程 " sheetId="6" r:id="rId4"/>
    <sheet name="归一化表" sheetId="7" r:id="rId5"/>
    <sheet name="input_data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6" l="1"/>
  <c r="E36" i="6"/>
  <c r="D36" i="6"/>
  <c r="C36" i="6"/>
  <c r="F20" i="6"/>
  <c r="E20" i="6"/>
  <c r="D20" i="6"/>
  <c r="C20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B23" i="2"/>
  <c r="K20" i="2"/>
  <c r="J20" i="2"/>
  <c r="I20" i="2"/>
  <c r="H20" i="2"/>
  <c r="G20" i="2"/>
  <c r="F20" i="2"/>
  <c r="E20" i="2"/>
  <c r="D20" i="2"/>
  <c r="C20" i="2"/>
  <c r="B20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B3" i="2"/>
  <c r="J131" i="1"/>
  <c r="I131" i="1"/>
  <c r="H131" i="1"/>
  <c r="G131" i="1"/>
  <c r="F131" i="1"/>
  <c r="J130" i="1"/>
  <c r="I130" i="1"/>
  <c r="H130" i="1"/>
  <c r="G130" i="1"/>
  <c r="F130" i="1"/>
  <c r="J129" i="1"/>
  <c r="I129" i="1"/>
  <c r="H129" i="1"/>
  <c r="G129" i="1"/>
  <c r="F129" i="1"/>
  <c r="J128" i="1"/>
  <c r="I128" i="1"/>
  <c r="H128" i="1"/>
  <c r="G128" i="1"/>
  <c r="F128" i="1"/>
  <c r="J127" i="1"/>
  <c r="I127" i="1"/>
  <c r="H127" i="1"/>
  <c r="G127" i="1"/>
  <c r="F127" i="1"/>
  <c r="J126" i="1"/>
  <c r="I126" i="1"/>
  <c r="H126" i="1"/>
  <c r="G126" i="1"/>
  <c r="F126" i="1"/>
  <c r="J125" i="1"/>
  <c r="I125" i="1"/>
  <c r="H125" i="1"/>
  <c r="G125" i="1"/>
  <c r="F125" i="1"/>
  <c r="J124" i="1"/>
  <c r="I124" i="1"/>
  <c r="H124" i="1"/>
  <c r="G124" i="1"/>
  <c r="F124" i="1"/>
  <c r="J123" i="1"/>
  <c r="I123" i="1"/>
  <c r="H123" i="1"/>
  <c r="G123" i="1"/>
  <c r="F123" i="1"/>
  <c r="J122" i="1"/>
  <c r="I122" i="1"/>
  <c r="H122" i="1"/>
  <c r="G122" i="1"/>
  <c r="F122" i="1"/>
  <c r="J121" i="1"/>
  <c r="I121" i="1"/>
  <c r="H121" i="1"/>
  <c r="G121" i="1"/>
  <c r="F121" i="1"/>
  <c r="J120" i="1"/>
  <c r="I120" i="1"/>
  <c r="H120" i="1"/>
  <c r="G120" i="1"/>
  <c r="F120" i="1"/>
  <c r="J119" i="1"/>
  <c r="I119" i="1"/>
  <c r="H119" i="1"/>
  <c r="G119" i="1"/>
  <c r="F119" i="1"/>
  <c r="J118" i="1"/>
  <c r="I118" i="1"/>
  <c r="H118" i="1"/>
  <c r="G118" i="1"/>
  <c r="F118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</calcChain>
</file>

<file path=xl/sharedStrings.xml><?xml version="1.0" encoding="utf-8"?>
<sst xmlns="http://schemas.openxmlformats.org/spreadsheetml/2006/main" count="434" uniqueCount="115">
  <si>
    <t>地形地貌汇总表</t>
  </si>
  <si>
    <t>2024年</t>
  </si>
  <si>
    <r>
      <rPr>
        <sz val="11"/>
        <color theme="1"/>
        <rFont val="宋体"/>
        <charset val="134"/>
        <scheme val="minor"/>
      </rPr>
      <t>1.普查所在行政区名称：</t>
    </r>
    <r>
      <rPr>
        <u/>
        <sz val="11"/>
        <color theme="1"/>
        <rFont val="宋体"/>
        <charset val="134"/>
        <scheme val="minor"/>
      </rPr>
      <t>广西壮族自治区</t>
    </r>
  </si>
  <si>
    <t>2.行政区划代码：450000</t>
  </si>
  <si>
    <t>平原占比</t>
  </si>
  <si>
    <t>山地占比</t>
  </si>
  <si>
    <t>丘陵占比</t>
  </si>
  <si>
    <t>台地占比</t>
  </si>
  <si>
    <t>平均高程</t>
  </si>
  <si>
    <t>坡度加权值</t>
  </si>
  <si>
    <t>农业</t>
  </si>
  <si>
    <t>林业</t>
  </si>
  <si>
    <t>牧业</t>
  </si>
  <si>
    <t>渔业</t>
  </si>
  <si>
    <t>农林牧渔专业及辅助性活动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</si>
  <si>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</si>
  <si>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</si>
  <si>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</si>
  <si>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</si>
  <si>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</si>
  <si>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</si>
  <si>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</si>
  <si>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</si>
  <si>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</si>
  <si>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</si>
  <si>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</si>
  <si>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</si>
  <si>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梧州市</t>
  </si>
  <si>
    <t>玉林市</t>
  </si>
  <si>
    <t>广西各市坡度带面积统计表</t>
  </si>
  <si>
    <t>名称</t>
  </si>
  <si>
    <t>2</t>
  </si>
  <si>
    <t>3</t>
  </si>
  <si>
    <t>5</t>
  </si>
  <si>
    <t>6</t>
  </si>
  <si>
    <t>8</t>
  </si>
  <si>
    <t>10</t>
  </si>
  <si>
    <t>百色</t>
  </si>
  <si>
    <t>北海</t>
  </si>
  <si>
    <t>崇左</t>
  </si>
  <si>
    <t>防城港</t>
  </si>
  <si>
    <t>贵港</t>
  </si>
  <si>
    <t>桂林</t>
  </si>
  <si>
    <t>河池</t>
  </si>
  <si>
    <t>贺州</t>
  </si>
  <si>
    <t>来宾</t>
  </si>
  <si>
    <t>柳州</t>
  </si>
  <si>
    <t>南宁</t>
  </si>
  <si>
    <t>钦州</t>
  </si>
  <si>
    <t>梧州</t>
  </si>
  <si>
    <t>玉林</t>
  </si>
  <si>
    <t>广西各市高程带面积统计表</t>
  </si>
  <si>
    <t>Rowid</t>
  </si>
  <si>
    <t>市</t>
  </si>
  <si>
    <t>0-50</t>
  </si>
  <si>
    <t>50-100</t>
  </si>
  <si>
    <t>100-200</t>
  </si>
  <si>
    <t>200-500</t>
  </si>
  <si>
    <t>500-800</t>
  </si>
  <si>
    <t>800-1000</t>
  </si>
  <si>
    <t>1000-1200</t>
  </si>
  <si>
    <t>1200-1500</t>
  </si>
  <si>
    <t>1500-2000</t>
  </si>
  <si>
    <t>2000-2500</t>
  </si>
  <si>
    <t>总计</t>
  </si>
  <si>
    <t>代号</t>
  </si>
  <si>
    <r>
      <rPr>
        <b/>
        <sz val="10"/>
        <rFont val="宋体"/>
        <charset val="134"/>
      </rPr>
      <t>二、构成（</t>
    </r>
    <r>
      <rPr>
        <b/>
        <sz val="10"/>
        <rFont val="Times New Roman"/>
      </rPr>
      <t>%</t>
    </r>
    <r>
      <rPr>
        <b/>
        <sz val="10"/>
        <rFont val="宋体"/>
        <charset val="134"/>
      </rPr>
      <t>）</t>
    </r>
  </si>
  <si>
    <t>Composition (%)</t>
  </si>
  <si>
    <r>
      <rPr>
        <sz val="10"/>
        <rFont val="宋体"/>
        <charset val="134"/>
      </rPr>
      <t>南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宁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市</t>
    </r>
  </si>
  <si>
    <t>Nanning</t>
  </si>
  <si>
    <r>
      <rPr>
        <sz val="10"/>
        <rFont val="宋体"/>
        <charset val="134"/>
      </rPr>
      <t>柳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州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市</t>
    </r>
  </si>
  <si>
    <t>Liuzhou</t>
  </si>
  <si>
    <r>
      <rPr>
        <sz val="10"/>
        <rFont val="宋体"/>
        <charset val="134"/>
      </rPr>
      <t>桂</t>
    </r>
    <r>
      <rPr>
        <sz val="10"/>
        <rFont val="Times New Roman"/>
      </rPr>
      <t xml:space="preserve">  </t>
    </r>
    <r>
      <rPr>
        <sz val="10"/>
        <rFont val="宋体"/>
        <charset val="134"/>
      </rPr>
      <t>林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市</t>
    </r>
  </si>
  <si>
    <t>Guilin</t>
  </si>
  <si>
    <r>
      <rPr>
        <sz val="10"/>
        <rFont val="宋体"/>
        <charset val="134"/>
      </rPr>
      <t>梧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州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市</t>
    </r>
  </si>
  <si>
    <t>Wuzhou</t>
  </si>
  <si>
    <r>
      <rPr>
        <sz val="10"/>
        <rFont val="宋体"/>
        <charset val="134"/>
      </rPr>
      <t>北</t>
    </r>
    <r>
      <rPr>
        <sz val="10"/>
        <rFont val="Times New Roman"/>
      </rPr>
      <t xml:space="preserve">  </t>
    </r>
    <r>
      <rPr>
        <sz val="10"/>
        <rFont val="宋体"/>
        <charset val="134"/>
      </rPr>
      <t>海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市</t>
    </r>
  </si>
  <si>
    <t>Beihai</t>
  </si>
  <si>
    <r>
      <rPr>
        <sz val="10"/>
        <rFont val="宋体"/>
        <charset val="134"/>
      </rPr>
      <t>防城港市</t>
    </r>
    <r>
      <rPr>
        <sz val="10"/>
        <rFont val="Times New Roman"/>
      </rPr>
      <t xml:space="preserve">                                </t>
    </r>
  </si>
  <si>
    <t>Fangchenggang</t>
  </si>
  <si>
    <r>
      <rPr>
        <sz val="10"/>
        <rFont val="宋体"/>
        <charset val="134"/>
      </rPr>
      <t>钦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州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市</t>
    </r>
  </si>
  <si>
    <t>Qinzhou</t>
  </si>
  <si>
    <r>
      <rPr>
        <sz val="10"/>
        <rFont val="宋体"/>
        <charset val="134"/>
      </rPr>
      <t>贵</t>
    </r>
    <r>
      <rPr>
        <sz val="10"/>
        <rFont val="Times New Roman"/>
      </rPr>
      <t xml:space="preserve">  </t>
    </r>
    <r>
      <rPr>
        <sz val="10"/>
        <rFont val="宋体"/>
        <charset val="134"/>
      </rPr>
      <t>港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市</t>
    </r>
  </si>
  <si>
    <t>Guigang</t>
  </si>
  <si>
    <r>
      <rPr>
        <sz val="10"/>
        <rFont val="宋体"/>
        <charset val="134"/>
      </rPr>
      <t>玉</t>
    </r>
    <r>
      <rPr>
        <sz val="10"/>
        <rFont val="Times New Roman"/>
      </rPr>
      <t xml:space="preserve">  </t>
    </r>
    <r>
      <rPr>
        <sz val="10"/>
        <rFont val="宋体"/>
        <charset val="134"/>
      </rPr>
      <t>林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市</t>
    </r>
  </si>
  <si>
    <t>Yulin</t>
  </si>
  <si>
    <r>
      <rPr>
        <sz val="10"/>
        <rFont val="宋体"/>
        <charset val="134"/>
      </rPr>
      <t>百</t>
    </r>
    <r>
      <rPr>
        <sz val="10"/>
        <rFont val="Times New Roman"/>
      </rPr>
      <t xml:space="preserve">  </t>
    </r>
    <r>
      <rPr>
        <sz val="10"/>
        <rFont val="宋体"/>
        <charset val="134"/>
      </rPr>
      <t>色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市</t>
    </r>
    <r>
      <rPr>
        <sz val="10"/>
        <rFont val="Times New Roman"/>
      </rPr>
      <t xml:space="preserve">                                </t>
    </r>
  </si>
  <si>
    <t>Baise</t>
  </si>
  <si>
    <r>
      <rPr>
        <sz val="10"/>
        <rFont val="宋体"/>
        <charset val="134"/>
      </rPr>
      <t>贺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州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市</t>
    </r>
    <r>
      <rPr>
        <sz val="10"/>
        <rFont val="Times New Roman"/>
      </rPr>
      <t xml:space="preserve">                            </t>
    </r>
  </si>
  <si>
    <t>Hezhou</t>
  </si>
  <si>
    <r>
      <rPr>
        <sz val="10"/>
        <rFont val="宋体"/>
        <charset val="134"/>
      </rPr>
      <t>河</t>
    </r>
    <r>
      <rPr>
        <sz val="10"/>
        <rFont val="Times New Roman"/>
      </rPr>
      <t xml:space="preserve">  </t>
    </r>
    <r>
      <rPr>
        <sz val="10"/>
        <rFont val="宋体"/>
        <charset val="134"/>
      </rPr>
      <t>池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市</t>
    </r>
    <r>
      <rPr>
        <sz val="10"/>
        <rFont val="Times New Roman"/>
      </rPr>
      <t xml:space="preserve">                                </t>
    </r>
  </si>
  <si>
    <t>Hechi</t>
  </si>
  <si>
    <r>
      <rPr>
        <sz val="10"/>
        <rFont val="宋体"/>
        <charset val="134"/>
      </rPr>
      <t>来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宾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市</t>
    </r>
    <r>
      <rPr>
        <sz val="10"/>
        <rFont val="Times New Roman"/>
      </rPr>
      <t xml:space="preserve">  </t>
    </r>
  </si>
  <si>
    <t>Laibin</t>
  </si>
  <si>
    <r>
      <rPr>
        <sz val="10"/>
        <rFont val="宋体"/>
        <charset val="134"/>
      </rPr>
      <t>崇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左</t>
    </r>
    <r>
      <rPr>
        <sz val="10"/>
        <rFont val="Times New Roman"/>
      </rPr>
      <t xml:space="preserve">  </t>
    </r>
    <r>
      <rPr>
        <sz val="10"/>
        <rFont val="宋体"/>
        <charset val="134"/>
      </rPr>
      <t>市</t>
    </r>
  </si>
  <si>
    <t>Chongzuo</t>
  </si>
  <si>
    <t>平原面积</t>
  </si>
  <si>
    <t>山地面积</t>
  </si>
  <si>
    <t>丘陵面积</t>
  </si>
  <si>
    <t>台地面积</t>
  </si>
  <si>
    <t>sum</t>
  </si>
  <si>
    <t>广西各市坡度带百分数统计表</t>
  </si>
  <si>
    <t>weights</t>
  </si>
  <si>
    <t>score</t>
  </si>
  <si>
    <t>id</t>
  </si>
  <si>
    <t>name</t>
  </si>
  <si>
    <t>坡度均值</t>
  </si>
  <si>
    <t>坡度标准差</t>
  </si>
  <si>
    <t>归一化后坡度均值</t>
  </si>
  <si>
    <t>归一化后坡度std</t>
  </si>
  <si>
    <t>高程均值</t>
  </si>
  <si>
    <t>高程标准差</t>
  </si>
  <si>
    <t>mean_noralized</t>
  </si>
  <si>
    <t>std_noralized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</si>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</sst>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8"/>
      <color rgb="FF000000"/>
      <name val="宋体"/>
      <charset val="134"/>
    </font>
    <font>
      <sz val="8"/>
      <color theme="1"/>
      <name val="宋体"/>
      <charset val="134"/>
    </font>
    <font>
      <sz val="10"/>
      <name val="Arial"/>
    </font>
    <font>
      <sz val="10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0"/>
      <name val="Times New Roman"/>
    </font>
    <font>
      <b/>
      <sz val="10"/>
      <name val="Arial"/>
    </font>
    <font>
      <sz val="10"/>
      <name val="Times New Roman"/>
    </font>
    <font>
      <u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2" borderId="0" xfId="0" applyNumberFormat="1" applyFont="1" applyFill="1" applyAlignment="1">
      <alignment horizontal="right" vertical="center"/>
    </xf>
    <xf numFmtId="176" fontId="4" fillId="2" borderId="3" xfId="0" applyNumberFormat="1" applyFont="1" applyFill="1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78" fontId="0" fillId="0" borderId="0" xfId="0" applyNumberFormat="1">
      <alignment vertical="center"/>
    </xf>
    <xf numFmtId="0" fontId="7" fillId="3" borderId="0" xfId="0" applyFont="1" applyFill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10" fillId="3" borderId="6" xfId="0" applyFont="1" applyFill="1" applyBorder="1" applyAlignment="1">
      <alignment horizontal="left" vertical="center"/>
    </xf>
    <xf numFmtId="176" fontId="4" fillId="2" borderId="7" xfId="0" applyNumberFormat="1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left" vertical="center"/>
    </xf>
    <xf numFmtId="176" fontId="4" fillId="2" borderId="10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1"/>
  <sheetViews>
    <sheetView topLeftCell="A61" zoomScale="85" zoomScaleNormal="85" workbookViewId="0">
      <selection activeCell="A85" sqref="A85"/>
    </sheetView>
  </sheetViews>
  <sheetFormatPr defaultColWidth="10.81640625" defaultRowHeight="14" x14ac:dyDescent="0.25"/>
  <cols>
    <col min="1" max="2" width="16.81640625" customWidth="1"/>
    <col min="3" max="3" width="10.81640625" customWidth="1"/>
    <col min="4" max="4" width="12.81640625" customWidth="1"/>
    <col min="5" max="6" width="16.81640625" customWidth="1"/>
    <col min="7" max="7" width="29.54296875" customWidth="1"/>
    <col min="8" max="8" width="17.54296875"/>
    <col min="9" max="9" width="15.1796875"/>
    <col min="10" max="10" width="12.90625"/>
    <col min="11" max="12" width="12.81640625"/>
    <col min="13" max="13" width="25.90625" customWidth="1"/>
    <col min="14" max="14" width="25.36328125" customWidth="1"/>
    <col min="15" max="28" width="12.81640625"/>
  </cols>
  <sheetData>
    <row r="1" spans="1:27" ht="16" customHeight="1" x14ac:dyDescent="0.25">
      <c r="A1" s="39" t="s">
        <v>0</v>
      </c>
      <c r="B1" s="39"/>
      <c r="C1" s="39"/>
      <c r="D1" s="39"/>
      <c r="E1" s="39"/>
      <c r="F1" s="39"/>
      <c r="G1" s="39"/>
    </row>
    <row r="2" spans="1:27" ht="16" customHeight="1" x14ac:dyDescent="0.25">
      <c r="D2" s="39" t="s">
        <v>1</v>
      </c>
      <c r="E2" s="39"/>
    </row>
    <row r="3" spans="1:27" ht="16" customHeight="1" x14ac:dyDescent="0.25">
      <c r="A3" s="43" t="s">
        <v>2</v>
      </c>
      <c r="B3" s="43"/>
      <c r="C3" s="43"/>
    </row>
    <row r="4" spans="1:27" ht="16" customHeight="1" x14ac:dyDescent="0.25">
      <c r="A4" s="43" t="s">
        <v>3</v>
      </c>
      <c r="B4" s="43"/>
    </row>
    <row r="5" spans="1:27" ht="20" customHeight="1" x14ac:dyDescent="0.25">
      <c r="A5" s="36"/>
      <c r="B5" s="36"/>
      <c r="C5" s="9"/>
      <c r="D5" s="35"/>
      <c r="E5" s="35"/>
      <c r="F5" s="35"/>
      <c r="G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1:27" ht="20" customHeight="1" x14ac:dyDescent="0.25">
      <c r="A6" s="37"/>
      <c r="B6" s="37"/>
      <c r="C6" s="9"/>
      <c r="D6" s="35"/>
      <c r="E6" s="35"/>
      <c r="F6" s="35"/>
      <c r="G6" s="35"/>
      <c r="K6" s="9"/>
      <c r="L6" s="11"/>
      <c r="M6" s="19"/>
      <c r="N6" s="19"/>
      <c r="O6" s="19"/>
      <c r="P6" s="19"/>
      <c r="Q6" s="19"/>
      <c r="R6" s="19"/>
      <c r="S6" s="11"/>
      <c r="T6" s="11"/>
      <c r="U6" s="11"/>
    </row>
    <row r="7" spans="1:27" ht="16" customHeight="1" x14ac:dyDescent="0.25">
      <c r="A7" s="37"/>
      <c r="B7" s="37"/>
      <c r="C7" s="9"/>
      <c r="D7" s="9"/>
      <c r="E7" s="9"/>
      <c r="F7" s="9"/>
      <c r="J7" s="22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spans="1:27" ht="16" customHeight="1" x14ac:dyDescent="0.25">
      <c r="A8" s="37"/>
      <c r="B8" s="37"/>
      <c r="C8" s="9"/>
      <c r="D8" s="9"/>
      <c r="E8" s="9"/>
      <c r="F8" s="9"/>
      <c r="G8" s="39"/>
      <c r="H8" s="39"/>
      <c r="I8" s="39"/>
      <c r="J8" s="39"/>
      <c r="K8" s="39"/>
      <c r="L8" s="39"/>
      <c r="M8" s="39"/>
      <c r="N8" s="39"/>
      <c r="O8" s="39"/>
      <c r="P8" s="40"/>
      <c r="Q8" s="41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7" ht="16" customHeight="1" x14ac:dyDescent="0.25">
      <c r="A9" s="38"/>
      <c r="B9" s="38"/>
      <c r="C9" s="9" t="s">
        <v>4</v>
      </c>
      <c r="D9" s="9" t="s">
        <v>5</v>
      </c>
      <c r="E9" s="9" t="s">
        <v>6</v>
      </c>
      <c r="F9" s="9" t="s">
        <v>7</v>
      </c>
      <c r="G9" s="9" t="s">
        <v>8</v>
      </c>
      <c r="H9" s="8" t="s">
        <v>9</v>
      </c>
      <c r="I9" t="s">
        <v>10</v>
      </c>
      <c r="J9" t="s">
        <v>11</v>
      </c>
      <c r="K9" t="s">
        <v>12</v>
      </c>
      <c r="L9" t="s">
        <v>13</v>
      </c>
      <c r="M9" t="s">
        <v>14</v>
      </c>
      <c r="N9" s="14"/>
      <c r="O9" s="14"/>
      <c r="P9" s="14"/>
      <c r="Q9" s="9"/>
      <c r="R9" s="8"/>
      <c r="S9" s="8"/>
      <c r="T9" s="8"/>
      <c r="U9" s="8"/>
      <c r="V9" s="8"/>
      <c r="W9" s="8"/>
      <c r="X9" s="8"/>
      <c r="Y9" s="8"/>
      <c r="Z9" s="8"/>
      <c r="AA9" s="17"/>
    </row>
    <row r="10" spans="1:27" ht="16" customHeight="1" x14ac:dyDescent="0.25">
      <c r="A10" s="9">
        <v>2</v>
      </c>
      <c r="B10" s="9" t="s">
        <v>15</v>
      </c>
      <c r="C10" s="10">
        <v>5.7776262286214101E-3</v>
      </c>
      <c r="D10" s="11">
        <v>0.85981376803325604</v>
      </c>
      <c r="E10" s="11">
        <v>0.134330977574358</v>
      </c>
      <c r="F10" s="10">
        <v>7.7628163764730193E-5</v>
      </c>
      <c r="G10" s="13">
        <v>744.90175922323795</v>
      </c>
      <c r="H10" s="9">
        <v>4574986399.0195103</v>
      </c>
      <c r="I10" s="15">
        <v>57.3066499285774</v>
      </c>
      <c r="J10" s="15">
        <v>13.205400424167101</v>
      </c>
      <c r="K10" s="15">
        <v>21.571540907071501</v>
      </c>
      <c r="L10" s="15">
        <v>2.7541932458018099</v>
      </c>
      <c r="M10" s="15">
        <v>5.1622154943822203</v>
      </c>
      <c r="N10" s="10"/>
      <c r="O10" s="10"/>
      <c r="P10" s="10"/>
      <c r="Q10" s="13"/>
      <c r="R10" s="9"/>
      <c r="S10" s="9"/>
      <c r="T10" s="9"/>
      <c r="U10" s="9"/>
      <c r="V10" s="9"/>
      <c r="W10" s="9"/>
      <c r="X10" s="9"/>
      <c r="Y10" s="9"/>
      <c r="Z10" s="9"/>
      <c r="AA10" s="18"/>
    </row>
    <row r="11" spans="1:27" ht="16" customHeight="1" x14ac:dyDescent="0.25">
      <c r="A11" s="9">
        <v>3</v>
      </c>
      <c r="B11" s="9" t="s">
        <v>16</v>
      </c>
      <c r="C11" s="10">
        <v>0.67329501066893505</v>
      </c>
      <c r="D11" s="11">
        <v>5.6667793803854899E-3</v>
      </c>
      <c r="E11" s="11">
        <v>0.321038209950679</v>
      </c>
      <c r="F11" s="10">
        <v>0</v>
      </c>
      <c r="G11" s="13">
        <v>32.398820003964303</v>
      </c>
      <c r="H11" s="9">
        <v>36613322.675486997</v>
      </c>
      <c r="I11" s="15">
        <v>26.121173599891701</v>
      </c>
      <c r="J11" s="15">
        <v>2.1119131369553599</v>
      </c>
      <c r="K11" s="15">
        <v>10.268917634204399</v>
      </c>
      <c r="L11" s="15">
        <v>58.105621710550402</v>
      </c>
      <c r="M11" s="15">
        <v>3.39237391839817</v>
      </c>
      <c r="N11" s="10"/>
      <c r="O11" s="10"/>
      <c r="P11" s="10"/>
      <c r="Q11" s="13"/>
      <c r="R11" s="9"/>
      <c r="S11" s="9"/>
      <c r="T11" s="9"/>
      <c r="U11" s="9"/>
      <c r="V11" s="9"/>
      <c r="W11" s="9"/>
      <c r="X11" s="9"/>
      <c r="Y11" s="9"/>
      <c r="Z11" s="9"/>
      <c r="AA11" s="18"/>
    </row>
    <row r="12" spans="1:27" x14ac:dyDescent="0.25">
      <c r="A12" s="9">
        <v>4</v>
      </c>
      <c r="B12" s="9" t="s">
        <v>17</v>
      </c>
      <c r="C12" s="10">
        <v>2.2299433987198199E-2</v>
      </c>
      <c r="D12" s="11">
        <v>0.44649680698795902</v>
      </c>
      <c r="E12" s="11">
        <v>0.53087943238650404</v>
      </c>
      <c r="F12" s="10">
        <v>3.2432663833810801E-4</v>
      </c>
      <c r="G12" s="13">
        <v>323.18494575322899</v>
      </c>
      <c r="H12" s="9">
        <v>1424237224.55269</v>
      </c>
      <c r="I12" s="16">
        <v>69.790032622502906</v>
      </c>
      <c r="J12" s="16">
        <v>12.720615354754701</v>
      </c>
      <c r="K12" s="16">
        <v>11.4390624222347</v>
      </c>
      <c r="L12" s="16">
        <v>2.2177181035638398</v>
      </c>
      <c r="M12" s="16">
        <v>3.8325714969438902</v>
      </c>
      <c r="N12" s="10"/>
      <c r="O12" s="10"/>
      <c r="P12" s="10"/>
      <c r="Q12" s="13"/>
      <c r="R12" s="9"/>
      <c r="S12" s="9"/>
      <c r="T12" s="9"/>
      <c r="U12" s="9"/>
      <c r="V12" s="9"/>
      <c r="W12" s="9"/>
      <c r="X12" s="9"/>
      <c r="Y12" s="9"/>
      <c r="Z12" s="9"/>
      <c r="AA12" s="18"/>
    </row>
    <row r="13" spans="1:27" x14ac:dyDescent="0.25">
      <c r="A13" s="9">
        <v>5</v>
      </c>
      <c r="B13" s="9" t="s">
        <v>18</v>
      </c>
      <c r="C13" s="10">
        <v>7.0708867001046796E-2</v>
      </c>
      <c r="D13" s="11">
        <v>0.42653135184144902</v>
      </c>
      <c r="E13" s="11">
        <v>0.50121721370554295</v>
      </c>
      <c r="F13" s="10">
        <v>1.54256745196149E-3</v>
      </c>
      <c r="G13" s="13">
        <v>273.93128367209198</v>
      </c>
      <c r="H13" s="9">
        <v>445643713.38164502</v>
      </c>
      <c r="I13" s="15">
        <v>28.1429389997116</v>
      </c>
      <c r="J13" s="15">
        <v>14.855532237372501</v>
      </c>
      <c r="K13" s="15">
        <v>8.4787823001553697</v>
      </c>
      <c r="L13" s="15">
        <v>42.912344830973801</v>
      </c>
      <c r="M13" s="15">
        <v>5.6104016317868002</v>
      </c>
      <c r="N13" s="10"/>
      <c r="O13" s="10"/>
      <c r="P13" s="10"/>
      <c r="Q13" s="13"/>
      <c r="R13" s="9"/>
      <c r="S13" s="9"/>
      <c r="T13" s="9"/>
      <c r="U13" s="9"/>
      <c r="V13" s="9"/>
      <c r="W13" s="9"/>
      <c r="X13" s="9"/>
      <c r="Y13" s="9"/>
      <c r="Z13" s="9"/>
      <c r="AA13" s="18"/>
    </row>
    <row r="14" spans="1:27" x14ac:dyDescent="0.25">
      <c r="A14" s="9">
        <v>6</v>
      </c>
      <c r="B14" s="9" t="s">
        <v>19</v>
      </c>
      <c r="C14" s="10">
        <v>0.30873503293003601</v>
      </c>
      <c r="D14" s="11">
        <v>0.23877579544959901</v>
      </c>
      <c r="E14" s="11">
        <v>0.452489171620365</v>
      </c>
      <c r="F14" s="10">
        <v>0</v>
      </c>
      <c r="G14" s="13">
        <v>156.17446770809599</v>
      </c>
      <c r="H14" s="9">
        <v>499021070.25954902</v>
      </c>
      <c r="I14" s="15">
        <v>51.558438945713</v>
      </c>
      <c r="J14" s="15">
        <v>6.8902395343641203</v>
      </c>
      <c r="K14" s="15">
        <v>26.819763516414302</v>
      </c>
      <c r="L14" s="15">
        <v>8.8974052615030992</v>
      </c>
      <c r="M14" s="15">
        <v>5.8341527420055002</v>
      </c>
      <c r="N14" s="10"/>
      <c r="O14" s="10"/>
      <c r="P14" s="10"/>
      <c r="Q14" s="13"/>
      <c r="R14" s="9"/>
      <c r="S14" s="9"/>
      <c r="T14" s="9"/>
      <c r="U14" s="9"/>
      <c r="V14" s="9"/>
      <c r="W14" s="9"/>
      <c r="X14" s="9"/>
      <c r="Y14" s="9"/>
      <c r="Z14" s="9"/>
      <c r="AA14" s="18"/>
    </row>
    <row r="15" spans="1:27" x14ac:dyDescent="0.25">
      <c r="A15" s="9">
        <v>7</v>
      </c>
      <c r="B15" s="9" t="s">
        <v>20</v>
      </c>
      <c r="C15" s="10">
        <v>3.0558527085207801E-2</v>
      </c>
      <c r="D15" s="11">
        <v>0.71844426012819396</v>
      </c>
      <c r="E15" s="11">
        <v>0.247009240887336</v>
      </c>
      <c r="F15" s="10">
        <v>3.9879718992617197E-3</v>
      </c>
      <c r="G15" s="13">
        <v>530.23603389204595</v>
      </c>
      <c r="H15" s="9">
        <v>3002810302.1823902</v>
      </c>
      <c r="I15" s="15">
        <v>75.5827815561248</v>
      </c>
      <c r="J15" s="15">
        <v>3.9268717213636699</v>
      </c>
      <c r="K15" s="15">
        <v>15.772131107318399</v>
      </c>
      <c r="L15" s="15">
        <v>1.51430133896995</v>
      </c>
      <c r="M15" s="15">
        <v>3.2039142762231898</v>
      </c>
      <c r="N15" s="10"/>
      <c r="O15" s="10"/>
      <c r="P15" s="10"/>
      <c r="Q15" s="13"/>
      <c r="R15" s="9"/>
      <c r="S15" s="9"/>
      <c r="T15" s="9"/>
      <c r="U15" s="9"/>
      <c r="V15" s="9"/>
      <c r="W15" s="9"/>
      <c r="X15" s="9"/>
      <c r="Y15" s="9"/>
      <c r="Z15" s="9"/>
      <c r="AA15" s="18"/>
    </row>
    <row r="16" spans="1:27" x14ac:dyDescent="0.25">
      <c r="A16" s="9">
        <v>8</v>
      </c>
      <c r="B16" s="9" t="s">
        <v>21</v>
      </c>
      <c r="C16" s="10">
        <v>3.0312368083723101E-3</v>
      </c>
      <c r="D16" s="11">
        <v>0.81449516576653702</v>
      </c>
      <c r="E16" s="11">
        <v>0.180628097768496</v>
      </c>
      <c r="F16" s="10">
        <v>1.84549965659506E-3</v>
      </c>
      <c r="G16" s="13">
        <v>545.44110025781902</v>
      </c>
      <c r="H16" s="9">
        <v>4110058360.9526</v>
      </c>
      <c r="I16" s="15">
        <v>43.889000120345997</v>
      </c>
      <c r="J16" s="15">
        <v>11.0672409944649</v>
      </c>
      <c r="K16" s="15">
        <v>39.084678627121903</v>
      </c>
      <c r="L16" s="15">
        <v>2.1131909456189</v>
      </c>
      <c r="M16" s="15">
        <v>3.8458893124483802</v>
      </c>
      <c r="N16" s="10"/>
      <c r="O16" s="10"/>
      <c r="P16" s="10"/>
      <c r="Q16" s="13"/>
      <c r="R16" s="9"/>
      <c r="S16" s="9"/>
      <c r="T16" s="9"/>
      <c r="U16" s="9"/>
      <c r="V16" s="9"/>
      <c r="W16" s="9"/>
      <c r="X16" s="9"/>
      <c r="Y16" s="9"/>
      <c r="Z16" s="9"/>
      <c r="AA16" s="18"/>
    </row>
    <row r="17" spans="1:27" x14ac:dyDescent="0.25">
      <c r="A17" s="9">
        <v>9</v>
      </c>
      <c r="B17" s="9" t="s">
        <v>22</v>
      </c>
      <c r="C17" s="10">
        <v>2.9281559182344999E-2</v>
      </c>
      <c r="D17" s="11">
        <v>0.64836201451389996</v>
      </c>
      <c r="E17" s="11">
        <v>0.315437361570436</v>
      </c>
      <c r="F17" s="10">
        <v>6.9190647333187997E-3</v>
      </c>
      <c r="G17" s="13">
        <v>387.81837075815901</v>
      </c>
      <c r="H17" s="9">
        <v>1113014796.4033599</v>
      </c>
      <c r="I17" s="15">
        <v>61.224474749128603</v>
      </c>
      <c r="J17" s="15">
        <v>8.6135268250928299</v>
      </c>
      <c r="K17" s="15">
        <v>19.140608921924901</v>
      </c>
      <c r="L17" s="15">
        <v>3.9676831757212399</v>
      </c>
      <c r="M17" s="15">
        <v>7.0537063281325203</v>
      </c>
      <c r="N17" s="10"/>
      <c r="O17" s="10"/>
      <c r="P17" s="10"/>
      <c r="Q17" s="13"/>
      <c r="R17" s="9"/>
      <c r="S17" s="9"/>
      <c r="T17" s="9"/>
      <c r="U17" s="9"/>
      <c r="V17" s="9"/>
      <c r="W17" s="9"/>
      <c r="X17" s="9"/>
      <c r="Y17" s="9"/>
      <c r="Z17" s="9"/>
      <c r="AA17" s="18"/>
    </row>
    <row r="18" spans="1:27" x14ac:dyDescent="0.25">
      <c r="A18" s="9">
        <v>10</v>
      </c>
      <c r="B18" s="9" t="s">
        <v>23</v>
      </c>
      <c r="C18" s="10">
        <v>7.7088820162017499E-2</v>
      </c>
      <c r="D18" s="11">
        <v>0.44091363002429002</v>
      </c>
      <c r="E18" s="11">
        <v>0.48195091997047201</v>
      </c>
      <c r="F18" s="10">
        <v>4.6629843220777799E-5</v>
      </c>
      <c r="G18" s="13">
        <v>297.71026274402698</v>
      </c>
      <c r="H18" s="9">
        <v>1054116462.26912</v>
      </c>
      <c r="I18" s="15">
        <v>61.588892102150901</v>
      </c>
      <c r="J18" s="15">
        <v>8.0541250351190996</v>
      </c>
      <c r="K18" s="15">
        <v>22.422098674713698</v>
      </c>
      <c r="L18" s="15">
        <v>2.4805574363257699</v>
      </c>
      <c r="M18" s="15">
        <v>5.45432675169058</v>
      </c>
      <c r="N18" s="10"/>
      <c r="O18" s="10"/>
      <c r="P18" s="10"/>
      <c r="Q18" s="13"/>
      <c r="R18" s="9"/>
      <c r="S18" s="9"/>
      <c r="T18" s="9"/>
      <c r="U18" s="9"/>
      <c r="V18" s="9"/>
      <c r="W18" s="9"/>
      <c r="X18" s="9"/>
      <c r="Y18" s="9"/>
      <c r="Z18" s="9"/>
      <c r="AA18" s="18"/>
    </row>
    <row r="19" spans="1:27" x14ac:dyDescent="0.25">
      <c r="A19" s="9">
        <v>11</v>
      </c>
      <c r="B19" s="9" t="s">
        <v>24</v>
      </c>
      <c r="C19" s="10">
        <v>2.52887999153425E-2</v>
      </c>
      <c r="D19" s="11">
        <v>0.55969765445738495</v>
      </c>
      <c r="E19" s="11">
        <v>0.41485764353552801</v>
      </c>
      <c r="F19" s="10">
        <v>1.5590209174446199E-4</v>
      </c>
      <c r="G19" s="13">
        <v>366.40279439257603</v>
      </c>
      <c r="H19" s="9">
        <v>1665477450.4577</v>
      </c>
      <c r="I19" s="15">
        <v>61.704536709825099</v>
      </c>
      <c r="J19" s="15">
        <v>10.0668735920401</v>
      </c>
      <c r="K19" s="15">
        <v>21.5367766762607</v>
      </c>
      <c r="L19" s="15">
        <v>2.21272391635185</v>
      </c>
      <c r="M19" s="15">
        <v>4.4790891055222799</v>
      </c>
      <c r="N19" s="10"/>
      <c r="O19" s="10"/>
      <c r="P19" s="10"/>
      <c r="Q19" s="13"/>
      <c r="R19" s="9"/>
      <c r="S19" s="9"/>
      <c r="T19" s="9"/>
      <c r="U19" s="9"/>
      <c r="V19" s="9"/>
      <c r="W19" s="9"/>
      <c r="X19" s="9"/>
      <c r="Y19" s="9"/>
      <c r="Z19" s="9"/>
      <c r="AA19" s="18"/>
    </row>
    <row r="20" spans="1:27" x14ac:dyDescent="0.25">
      <c r="A20" s="9">
        <v>12</v>
      </c>
      <c r="B20" s="9" t="s">
        <v>25</v>
      </c>
      <c r="C20" s="10">
        <v>0.152513445947456</v>
      </c>
      <c r="D20" s="11">
        <v>0.23814138699083701</v>
      </c>
      <c r="E20" s="11">
        <v>0.60929167272752605</v>
      </c>
      <c r="F20" s="10">
        <v>5.3494334180571297E-5</v>
      </c>
      <c r="G20" s="13">
        <v>214.93770658064599</v>
      </c>
      <c r="H20" s="9">
        <v>1211563363.6436601</v>
      </c>
      <c r="I20" s="15">
        <v>64.336307039647394</v>
      </c>
      <c r="J20" s="15">
        <v>5.6979088553596204</v>
      </c>
      <c r="K20" s="15">
        <v>22.966491167871101</v>
      </c>
      <c r="L20" s="15">
        <v>4.0364666166743</v>
      </c>
      <c r="M20" s="15">
        <v>2.96282632044759</v>
      </c>
      <c r="N20" s="10"/>
      <c r="O20" s="10"/>
      <c r="P20" s="10"/>
      <c r="Q20" s="13"/>
      <c r="R20" s="9"/>
      <c r="S20" s="9"/>
      <c r="T20" s="9"/>
      <c r="U20" s="9"/>
      <c r="V20" s="9"/>
      <c r="W20" s="9"/>
      <c r="X20" s="9"/>
      <c r="Y20" s="9"/>
      <c r="Z20" s="9"/>
      <c r="AA20" s="18"/>
    </row>
    <row r="21" spans="1:27" x14ac:dyDescent="0.25">
      <c r="A21" s="9">
        <v>13</v>
      </c>
      <c r="B21" s="9" t="s">
        <v>26</v>
      </c>
      <c r="C21" s="10">
        <v>0.11311915183098201</v>
      </c>
      <c r="D21" s="11">
        <v>0.181529280389716</v>
      </c>
      <c r="E21" s="11">
        <v>0.70535156777930197</v>
      </c>
      <c r="F21" s="10">
        <v>0</v>
      </c>
      <c r="G21" s="13">
        <v>110.990895864179</v>
      </c>
      <c r="H21" s="9">
        <v>475414206.94963002</v>
      </c>
      <c r="I21" s="15">
        <v>52.697219057732902</v>
      </c>
      <c r="J21" s="15">
        <v>7.5611720206348698</v>
      </c>
      <c r="K21" s="15">
        <v>18.901630995928301</v>
      </c>
      <c r="L21" s="15">
        <v>15.957215564757901</v>
      </c>
      <c r="M21" s="15">
        <v>4.88276236094607</v>
      </c>
      <c r="N21" s="10"/>
      <c r="O21" s="10"/>
      <c r="P21" s="10"/>
      <c r="Q21" s="13"/>
      <c r="R21" s="9"/>
      <c r="S21" s="9"/>
      <c r="T21" s="9"/>
      <c r="U21" s="9"/>
      <c r="V21" s="9"/>
      <c r="W21" s="9"/>
      <c r="X21" s="9"/>
      <c r="Y21" s="9"/>
      <c r="Z21" s="9"/>
      <c r="AA21" s="18"/>
    </row>
    <row r="22" spans="1:27" x14ac:dyDescent="0.25">
      <c r="A22" s="9">
        <v>14</v>
      </c>
      <c r="B22" s="9" t="s">
        <v>27</v>
      </c>
      <c r="C22" s="10">
        <v>5.8743057389236096E-3</v>
      </c>
      <c r="D22" s="11">
        <v>0.43723389214234998</v>
      </c>
      <c r="E22" s="11">
        <v>0.55674073194146501</v>
      </c>
      <c r="F22" s="10">
        <v>1.51070177262131E-4</v>
      </c>
      <c r="G22" s="13">
        <v>234.51688854829999</v>
      </c>
      <c r="H22" s="9">
        <v>1006524776.16764</v>
      </c>
      <c r="I22" s="15">
        <v>56.397346209614398</v>
      </c>
      <c r="J22" s="15">
        <v>16.520188095508601</v>
      </c>
      <c r="K22" s="15">
        <v>19.0040691648713</v>
      </c>
      <c r="L22" s="15">
        <v>3.9195755647513302</v>
      </c>
      <c r="M22" s="15">
        <v>4.1588209652544004</v>
      </c>
      <c r="N22" s="10"/>
      <c r="O22" s="10"/>
      <c r="P22" s="10"/>
      <c r="Q22" s="13"/>
      <c r="R22" s="9"/>
      <c r="S22" s="9"/>
      <c r="T22" s="9"/>
      <c r="U22" s="9"/>
      <c r="V22" s="9"/>
      <c r="W22" s="9"/>
      <c r="X22" s="9"/>
      <c r="Y22" s="9"/>
      <c r="Z22" s="9"/>
      <c r="AA22" s="18"/>
    </row>
    <row r="23" spans="1:27" x14ac:dyDescent="0.25">
      <c r="A23" s="9">
        <v>15</v>
      </c>
      <c r="B23" s="9" t="s">
        <v>28</v>
      </c>
      <c r="C23" s="10">
        <v>9.35906161883127E-2</v>
      </c>
      <c r="D23" s="11">
        <v>0.28748783016402002</v>
      </c>
      <c r="E23" s="11">
        <v>0.61892155364766799</v>
      </c>
      <c r="F23" s="10">
        <v>0</v>
      </c>
      <c r="G23" s="13">
        <v>200.73680385697</v>
      </c>
      <c r="H23" s="9">
        <v>754532813.00775695</v>
      </c>
      <c r="I23" s="15">
        <v>47.608053853256003</v>
      </c>
      <c r="J23" s="15">
        <v>4.96631249068475</v>
      </c>
      <c r="K23" s="15">
        <v>35.660071881761198</v>
      </c>
      <c r="L23" s="15">
        <v>3.5408953897001001</v>
      </c>
      <c r="M23" s="15">
        <v>8.2246663845979704</v>
      </c>
      <c r="N23" s="10"/>
      <c r="O23" s="10"/>
      <c r="P23" s="10"/>
      <c r="Q23" s="13"/>
      <c r="R23" s="9"/>
      <c r="S23" s="9"/>
      <c r="T23" s="9"/>
      <c r="U23" s="9"/>
      <c r="V23" s="9"/>
      <c r="W23" s="9"/>
      <c r="X23" s="9"/>
      <c r="Y23" s="9"/>
      <c r="Z23" s="9"/>
      <c r="AA23" s="18"/>
    </row>
    <row r="32" spans="1:27" x14ac:dyDescent="0.25">
      <c r="A32" s="35" t="s">
        <v>29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</row>
    <row r="33" spans="1:11" x14ac:dyDescent="0.25">
      <c r="A33" s="9" t="s">
        <v>30</v>
      </c>
      <c r="B33" s="11">
        <v>0</v>
      </c>
      <c r="C33" s="19" t="s">
        <v>31</v>
      </c>
      <c r="D33" s="19" t="s">
        <v>32</v>
      </c>
      <c r="E33" s="19" t="s">
        <v>33</v>
      </c>
      <c r="F33" s="19" t="s">
        <v>34</v>
      </c>
      <c r="G33" s="19" t="s">
        <v>35</v>
      </c>
      <c r="H33" s="19" t="s">
        <v>36</v>
      </c>
      <c r="I33" s="11">
        <v>15</v>
      </c>
      <c r="J33" s="11">
        <v>25</v>
      </c>
      <c r="K33" s="11">
        <v>35</v>
      </c>
    </row>
    <row r="34" spans="1:11" x14ac:dyDescent="0.25">
      <c r="A34" s="20" t="s">
        <v>37</v>
      </c>
      <c r="B34" s="10">
        <v>1245940289.5542901</v>
      </c>
      <c r="C34" s="10">
        <v>709041134.56359303</v>
      </c>
      <c r="D34" s="10">
        <v>1554821632.43875</v>
      </c>
      <c r="E34" s="10">
        <v>859477938.69055402</v>
      </c>
      <c r="F34" s="10">
        <v>1914075516.5467</v>
      </c>
      <c r="G34" s="10">
        <v>2198722925.68084</v>
      </c>
      <c r="H34" s="10">
        <v>6884844368.4756403</v>
      </c>
      <c r="I34" s="10">
        <v>14604843586.9513</v>
      </c>
      <c r="J34" s="10">
        <v>5503088684.9902296</v>
      </c>
      <c r="K34" s="10">
        <v>963505543.93647599</v>
      </c>
    </row>
    <row r="35" spans="1:11" x14ac:dyDescent="0.25">
      <c r="A35" s="20" t="s">
        <v>38</v>
      </c>
      <c r="B35" s="10">
        <v>2438646974.8035402</v>
      </c>
      <c r="C35" s="10">
        <v>471110914.10396898</v>
      </c>
      <c r="D35" s="10">
        <v>313412034.84647799</v>
      </c>
      <c r="E35" s="10">
        <v>54327778.571360499</v>
      </c>
      <c r="F35" s="10">
        <v>64394181.8214918</v>
      </c>
      <c r="G35" s="10">
        <v>39544268.484211303</v>
      </c>
      <c r="H35" s="10">
        <v>57910186.1692333</v>
      </c>
      <c r="I35" s="10">
        <v>35118941.451544903</v>
      </c>
      <c r="J35" s="10">
        <v>1077964.27718797</v>
      </c>
      <c r="K35" s="10">
        <v>0</v>
      </c>
    </row>
    <row r="36" spans="1:11" x14ac:dyDescent="0.25">
      <c r="A36" s="20" t="s">
        <v>39</v>
      </c>
      <c r="B36" s="10">
        <v>2622208891.7189698</v>
      </c>
      <c r="C36" s="10">
        <v>1234212362.4182701</v>
      </c>
      <c r="D36" s="10">
        <v>1997054450.9064701</v>
      </c>
      <c r="E36" s="10">
        <v>840982341.09248698</v>
      </c>
      <c r="F36" s="10">
        <v>1464791352.8071401</v>
      </c>
      <c r="G36" s="10">
        <v>1284317438.82109</v>
      </c>
      <c r="H36" s="10">
        <v>2830523462.0369101</v>
      </c>
      <c r="I36" s="10">
        <v>3616537729.98737</v>
      </c>
      <c r="J36" s="10">
        <v>1250430456.5434799</v>
      </c>
      <c r="K36" s="10">
        <v>277125974.177526</v>
      </c>
    </row>
    <row r="37" spans="1:11" x14ac:dyDescent="0.25">
      <c r="A37" s="20" t="s">
        <v>40</v>
      </c>
      <c r="B37" s="10">
        <v>1035883145.40481</v>
      </c>
      <c r="C37" s="10">
        <v>542507811.2299</v>
      </c>
      <c r="D37" s="10">
        <v>792984563.27664399</v>
      </c>
      <c r="E37" s="10">
        <v>294130252.77557403</v>
      </c>
      <c r="F37" s="10">
        <v>480180403.02256501</v>
      </c>
      <c r="G37" s="10">
        <v>401480905.79327798</v>
      </c>
      <c r="H37" s="10">
        <v>866926428.69608605</v>
      </c>
      <c r="I37" s="10">
        <v>1172006529.12941</v>
      </c>
      <c r="J37" s="10">
        <v>375155883.44510901</v>
      </c>
      <c r="K37" s="10">
        <v>54830288.234410599</v>
      </c>
    </row>
    <row r="38" spans="1:11" x14ac:dyDescent="0.25">
      <c r="A38" s="20" t="s">
        <v>41</v>
      </c>
      <c r="B38" s="10">
        <v>4205730309.9135299</v>
      </c>
      <c r="C38" s="10">
        <v>916504680.45216703</v>
      </c>
      <c r="D38" s="10">
        <v>1116082066.62868</v>
      </c>
      <c r="E38" s="10">
        <v>426655018.91317201</v>
      </c>
      <c r="F38" s="10">
        <v>724092109.471398</v>
      </c>
      <c r="G38" s="10">
        <v>586947496.431566</v>
      </c>
      <c r="H38" s="10">
        <v>1106882897.79704</v>
      </c>
      <c r="I38" s="10">
        <v>1167686567.0260899</v>
      </c>
      <c r="J38" s="10">
        <v>318988271.10742003</v>
      </c>
      <c r="K38" s="10">
        <v>42227021.6853332</v>
      </c>
    </row>
    <row r="39" spans="1:11" x14ac:dyDescent="0.25">
      <c r="A39" s="20" t="s">
        <v>42</v>
      </c>
      <c r="B39" s="10">
        <v>3605125897.6394</v>
      </c>
      <c r="C39" s="10">
        <v>1178385159.85232</v>
      </c>
      <c r="D39" s="10">
        <v>1677425885.22839</v>
      </c>
      <c r="E39" s="10">
        <v>720979791.55831397</v>
      </c>
      <c r="F39" s="10">
        <v>1429737251.31212</v>
      </c>
      <c r="G39" s="10">
        <v>1474128306.5463901</v>
      </c>
      <c r="H39" s="10">
        <v>4134357727.7712998</v>
      </c>
      <c r="I39" s="10">
        <v>8656717755.3737392</v>
      </c>
      <c r="J39" s="10">
        <v>4246498432.5771098</v>
      </c>
      <c r="K39" s="10">
        <v>530966298.96888</v>
      </c>
    </row>
    <row r="40" spans="1:11" x14ac:dyDescent="0.25">
      <c r="A40" s="20" t="s">
        <v>43</v>
      </c>
      <c r="B40" s="10">
        <v>2165241193.1314902</v>
      </c>
      <c r="C40" s="10">
        <v>1152149292.44437</v>
      </c>
      <c r="D40" s="10">
        <v>2178022769.5610099</v>
      </c>
      <c r="E40" s="10">
        <v>1041969996.32337</v>
      </c>
      <c r="F40" s="10">
        <v>2052119783.9832799</v>
      </c>
      <c r="G40" s="10">
        <v>2057720335.2279201</v>
      </c>
      <c r="H40" s="10">
        <v>5451281559.7286901</v>
      </c>
      <c r="I40" s="10">
        <v>10348975780.6567</v>
      </c>
      <c r="J40" s="10">
        <v>5357547297.5807199</v>
      </c>
      <c r="K40" s="10">
        <v>1756814306.9957299</v>
      </c>
    </row>
    <row r="41" spans="1:11" x14ac:dyDescent="0.25">
      <c r="A41" s="20" t="s">
        <v>44</v>
      </c>
      <c r="B41" s="10">
        <v>1531617032.99823</v>
      </c>
      <c r="C41" s="10">
        <v>535886030.67003101</v>
      </c>
      <c r="D41" s="10">
        <v>802126997.14632797</v>
      </c>
      <c r="E41" s="10">
        <v>369749852.07003802</v>
      </c>
      <c r="F41" s="10">
        <v>760135020.30338895</v>
      </c>
      <c r="G41" s="10">
        <v>815856857.93998599</v>
      </c>
      <c r="H41" s="10">
        <v>2245683264.1923199</v>
      </c>
      <c r="I41" s="10">
        <v>3570306840.9867702</v>
      </c>
      <c r="J41" s="10">
        <v>1039400713.04616</v>
      </c>
      <c r="K41" s="10">
        <v>83068089.299996093</v>
      </c>
    </row>
    <row r="42" spans="1:11" x14ac:dyDescent="0.25">
      <c r="A42" s="20" t="s">
        <v>45</v>
      </c>
      <c r="B42" s="10">
        <v>3156846753.2259402</v>
      </c>
      <c r="C42" s="10">
        <v>901113295.77261901</v>
      </c>
      <c r="D42" s="10">
        <v>1261745028.95667</v>
      </c>
      <c r="E42" s="10">
        <v>508272314.18597502</v>
      </c>
      <c r="F42" s="10">
        <v>898657482.41932595</v>
      </c>
      <c r="G42" s="10">
        <v>800546523.20608997</v>
      </c>
      <c r="H42" s="10">
        <v>1781745270.2786701</v>
      </c>
      <c r="I42" s="10">
        <v>2690679885.8068199</v>
      </c>
      <c r="J42" s="10">
        <v>1165198333.69454</v>
      </c>
      <c r="K42" s="10">
        <v>218996953.155029</v>
      </c>
    </row>
    <row r="43" spans="1:11" x14ac:dyDescent="0.25">
      <c r="A43" s="20" t="s">
        <v>46</v>
      </c>
      <c r="B43" s="10">
        <v>2532770276.69063</v>
      </c>
      <c r="C43" s="10">
        <v>905344102.93571806</v>
      </c>
      <c r="D43" s="10">
        <v>1535353435.4928501</v>
      </c>
      <c r="E43" s="10">
        <v>726288562.99860001</v>
      </c>
      <c r="F43" s="10">
        <v>1426511463.4751201</v>
      </c>
      <c r="G43" s="10">
        <v>1411833318.3173201</v>
      </c>
      <c r="H43" s="10">
        <v>3494962811.5075302</v>
      </c>
      <c r="I43" s="10">
        <v>4957517185.81464</v>
      </c>
      <c r="J43" s="10">
        <v>1441351708.52423</v>
      </c>
      <c r="K43" s="10">
        <v>179671519.52408201</v>
      </c>
    </row>
    <row r="44" spans="1:11" x14ac:dyDescent="0.25">
      <c r="A44" s="20" t="s">
        <v>47</v>
      </c>
      <c r="B44" s="10">
        <v>6690446073.8263702</v>
      </c>
      <c r="C44" s="10">
        <v>2355384365.6339698</v>
      </c>
      <c r="D44" s="10">
        <v>3006977298.7185502</v>
      </c>
      <c r="E44" s="10">
        <v>1042464400.99185</v>
      </c>
      <c r="F44" s="10">
        <v>1641755804.14641</v>
      </c>
      <c r="G44" s="10">
        <v>1297463740.0060501</v>
      </c>
      <c r="H44" s="10">
        <v>2399905100.7812901</v>
      </c>
      <c r="I44" s="10">
        <v>2546905387.2125602</v>
      </c>
      <c r="J44" s="10">
        <v>919625103.35981703</v>
      </c>
      <c r="K44" s="10">
        <v>219718297.671343</v>
      </c>
    </row>
    <row r="45" spans="1:11" x14ac:dyDescent="0.25">
      <c r="A45" s="20" t="s">
        <v>48</v>
      </c>
      <c r="B45" s="10">
        <v>2952681940.1254601</v>
      </c>
      <c r="C45" s="10">
        <v>1458591031.9646699</v>
      </c>
      <c r="D45" s="10">
        <v>1947135789.37865</v>
      </c>
      <c r="E45" s="10">
        <v>622463582.61681199</v>
      </c>
      <c r="F45" s="10">
        <v>882666328.14194405</v>
      </c>
      <c r="G45" s="10">
        <v>628607168.49732697</v>
      </c>
      <c r="H45" s="10">
        <v>1077875122.24775</v>
      </c>
      <c r="I45" s="10">
        <v>1030979623.69279</v>
      </c>
      <c r="J45" s="10">
        <v>129923062.882129</v>
      </c>
      <c r="K45" s="10">
        <v>3760717.4783099</v>
      </c>
    </row>
    <row r="46" spans="1:11" x14ac:dyDescent="0.25">
      <c r="A46" s="20" t="s">
        <v>49</v>
      </c>
      <c r="B46" s="10">
        <v>958569602.24619401</v>
      </c>
      <c r="C46" s="10">
        <v>617592480.88305295</v>
      </c>
      <c r="D46" s="10">
        <v>1319590375.1693799</v>
      </c>
      <c r="E46" s="10">
        <v>683251041.85673499</v>
      </c>
      <c r="F46" s="10">
        <v>1395971843.95298</v>
      </c>
      <c r="G46" s="10">
        <v>1379615964.9201601</v>
      </c>
      <c r="H46" s="10">
        <v>3040280721.3874698</v>
      </c>
      <c r="I46" s="10">
        <v>2786294506.6939402</v>
      </c>
      <c r="J46" s="10">
        <v>356595445.89051902</v>
      </c>
      <c r="K46" s="10">
        <v>16461243.962171201</v>
      </c>
    </row>
    <row r="47" spans="1:11" x14ac:dyDescent="0.25">
      <c r="A47" s="20" t="s">
        <v>50</v>
      </c>
      <c r="B47" s="10">
        <v>2776382098.3405499</v>
      </c>
      <c r="C47" s="10">
        <v>1257676321.68488</v>
      </c>
      <c r="D47" s="10">
        <v>1820041369.5998199</v>
      </c>
      <c r="E47" s="10">
        <v>693747009.81882799</v>
      </c>
      <c r="F47" s="10">
        <v>1170612470.0641799</v>
      </c>
      <c r="G47" s="10">
        <v>983087210.80629599</v>
      </c>
      <c r="H47" s="10">
        <v>1906651341.5248599</v>
      </c>
      <c r="I47" s="10">
        <v>1903936168.34548</v>
      </c>
      <c r="J47" s="10">
        <v>308419358.19423902</v>
      </c>
      <c r="K47" s="10">
        <v>16412613.994779199</v>
      </c>
    </row>
    <row r="48" spans="1:11" x14ac:dyDescent="0.25">
      <c r="A48" s="2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51" spans="1:13" x14ac:dyDescent="0.25">
      <c r="A51" s="35" t="s">
        <v>51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</row>
    <row r="52" spans="1:13" x14ac:dyDescent="0.25">
      <c r="A52" s="9" t="s">
        <v>52</v>
      </c>
      <c r="B52" s="9" t="s">
        <v>53</v>
      </c>
      <c r="C52" s="9" t="s">
        <v>54</v>
      </c>
      <c r="D52" s="9" t="s">
        <v>55</v>
      </c>
      <c r="E52" s="9" t="s">
        <v>56</v>
      </c>
      <c r="F52" s="9" t="s">
        <v>57</v>
      </c>
      <c r="G52" s="9" t="s">
        <v>58</v>
      </c>
      <c r="H52" s="9" t="s">
        <v>59</v>
      </c>
      <c r="I52" s="9" t="s">
        <v>60</v>
      </c>
      <c r="J52" s="9" t="s">
        <v>61</v>
      </c>
      <c r="K52" s="9" t="s">
        <v>62</v>
      </c>
      <c r="L52" s="9" t="s">
        <v>63</v>
      </c>
      <c r="M52" s="18" t="s">
        <v>64</v>
      </c>
    </row>
    <row r="53" spans="1:13" x14ac:dyDescent="0.25">
      <c r="A53" s="9">
        <v>1</v>
      </c>
      <c r="B53" s="9" t="s">
        <v>15</v>
      </c>
      <c r="C53" s="9">
        <v>0</v>
      </c>
      <c r="D53" s="9">
        <v>32849542.973253999</v>
      </c>
      <c r="E53" s="9">
        <v>1785441147.8004501</v>
      </c>
      <c r="F53" s="9">
        <v>7753108121.2749996</v>
      </c>
      <c r="G53" s="9">
        <v>10425673344.2283</v>
      </c>
      <c r="H53" s="9">
        <v>8388110130.4843702</v>
      </c>
      <c r="I53" s="9">
        <v>4921822789.74895</v>
      </c>
      <c r="J53" s="9">
        <v>2652148741.64327</v>
      </c>
      <c r="K53" s="9">
        <v>478956548.84320098</v>
      </c>
      <c r="L53" s="9">
        <v>251254.83152499999</v>
      </c>
      <c r="M53" s="18">
        <f t="shared" ref="M53:M66" si="0">SUM(C53:L53)</f>
        <v>36438361621.8283</v>
      </c>
    </row>
    <row r="54" spans="1:13" x14ac:dyDescent="0.25">
      <c r="A54" s="9">
        <v>2</v>
      </c>
      <c r="B54" s="9" t="s">
        <v>16</v>
      </c>
      <c r="C54" s="9">
        <v>3104302073.45895</v>
      </c>
      <c r="D54" s="9">
        <v>297947705.215841</v>
      </c>
      <c r="E54" s="9">
        <v>65026371.397587001</v>
      </c>
      <c r="F54" s="9">
        <v>8258989.4620639998</v>
      </c>
      <c r="G54" s="9">
        <v>8104.994565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8">
        <f t="shared" si="0"/>
        <v>3475543244.5290098</v>
      </c>
    </row>
    <row r="55" spans="1:13" x14ac:dyDescent="0.25">
      <c r="A55" s="9">
        <v>3</v>
      </c>
      <c r="B55" s="9" t="s">
        <v>17</v>
      </c>
      <c r="C55" s="9">
        <v>8104.994565</v>
      </c>
      <c r="D55" s="9">
        <v>480982797.484532</v>
      </c>
      <c r="E55" s="9">
        <v>5777418436.0427198</v>
      </c>
      <c r="F55" s="9">
        <v>8503144318.3500004</v>
      </c>
      <c r="G55" s="9">
        <v>2569688526.9356699</v>
      </c>
      <c r="H55" s="9">
        <v>78164567.587975994</v>
      </c>
      <c r="I55" s="9">
        <v>7950999.6685819998</v>
      </c>
      <c r="J55" s="9">
        <v>826709.44566299999</v>
      </c>
      <c r="K55" s="9">
        <v>0</v>
      </c>
      <c r="L55" s="9">
        <v>0</v>
      </c>
      <c r="M55" s="18">
        <f t="shared" si="0"/>
        <v>17418184460.509701</v>
      </c>
    </row>
    <row r="56" spans="1:13" x14ac:dyDescent="0.25">
      <c r="A56" s="9">
        <v>4</v>
      </c>
      <c r="B56" s="9" t="s">
        <v>18</v>
      </c>
      <c r="C56" s="9">
        <v>1351507843.7676201</v>
      </c>
      <c r="D56" s="9">
        <v>430456261.364308</v>
      </c>
      <c r="E56" s="9">
        <v>1055237872.4268</v>
      </c>
      <c r="F56" s="9">
        <v>2335745963.8021898</v>
      </c>
      <c r="G56" s="9">
        <v>653748861.63895905</v>
      </c>
      <c r="H56" s="9">
        <v>142445279.485553</v>
      </c>
      <c r="I56" s="9">
        <v>41546202.141846001</v>
      </c>
      <c r="J56" s="9">
        <v>5397926.3805050002</v>
      </c>
      <c r="K56" s="9">
        <v>0</v>
      </c>
      <c r="L56" s="9">
        <v>0</v>
      </c>
      <c r="M56" s="18">
        <f t="shared" si="0"/>
        <v>6016086211.0077801</v>
      </c>
    </row>
    <row r="57" spans="1:13" x14ac:dyDescent="0.25">
      <c r="A57" s="9">
        <v>5</v>
      </c>
      <c r="B57" s="9" t="s">
        <v>19</v>
      </c>
      <c r="C57" s="9">
        <v>2699295495.0297599</v>
      </c>
      <c r="D57" s="9">
        <v>2774631419.51443</v>
      </c>
      <c r="E57" s="9">
        <v>2828618788.3140502</v>
      </c>
      <c r="F57" s="9">
        <v>1882806447.51368</v>
      </c>
      <c r="G57" s="9">
        <v>353710067.82526398</v>
      </c>
      <c r="H57" s="9">
        <v>58971940.457291</v>
      </c>
      <c r="I57" s="9">
        <v>12514111.608859001</v>
      </c>
      <c r="J57" s="9">
        <v>1248169.1630599999</v>
      </c>
      <c r="K57" s="9">
        <v>0</v>
      </c>
      <c r="L57" s="9">
        <v>0</v>
      </c>
      <c r="M57" s="18">
        <f t="shared" si="0"/>
        <v>10611796439.426399</v>
      </c>
    </row>
    <row r="58" spans="1:13" x14ac:dyDescent="0.25">
      <c r="A58" s="9">
        <v>6</v>
      </c>
      <c r="B58" s="9" t="s">
        <v>20</v>
      </c>
      <c r="C58" s="9">
        <v>8104.994565</v>
      </c>
      <c r="D58" s="9">
        <v>21437710.62528</v>
      </c>
      <c r="E58" s="9">
        <v>5099435640.6534405</v>
      </c>
      <c r="F58" s="9">
        <v>10881336138.690701</v>
      </c>
      <c r="G58" s="9">
        <v>6112859846.1177397</v>
      </c>
      <c r="H58" s="9">
        <v>2566033174.3867102</v>
      </c>
      <c r="I58" s="9">
        <v>1482889805.6715</v>
      </c>
      <c r="J58" s="9">
        <v>1086174636.6826401</v>
      </c>
      <c r="K58" s="9">
        <v>402615605.03242302</v>
      </c>
      <c r="L58" s="9">
        <v>1531843.972846</v>
      </c>
      <c r="M58" s="18">
        <f t="shared" si="0"/>
        <v>27654322506.8279</v>
      </c>
    </row>
    <row r="59" spans="1:13" x14ac:dyDescent="0.25">
      <c r="A59" s="9">
        <v>7</v>
      </c>
      <c r="B59" s="9" t="s">
        <v>21</v>
      </c>
      <c r="C59" s="9">
        <v>470089.68478900002</v>
      </c>
      <c r="D59" s="9">
        <v>4271332.1359249996</v>
      </c>
      <c r="E59" s="9">
        <v>1954106084.7048199</v>
      </c>
      <c r="F59" s="9">
        <v>13871130848.930799</v>
      </c>
      <c r="G59" s="9">
        <v>12161341720.403099</v>
      </c>
      <c r="H59" s="9">
        <v>4494122226.53685</v>
      </c>
      <c r="I59" s="9">
        <v>986702038.38243103</v>
      </c>
      <c r="J59" s="9">
        <v>85653582.566333994</v>
      </c>
      <c r="K59" s="9">
        <v>4044392.288096</v>
      </c>
      <c r="L59" s="9">
        <v>0</v>
      </c>
      <c r="M59" s="18">
        <f t="shared" si="0"/>
        <v>33561842315.633099</v>
      </c>
    </row>
    <row r="60" spans="1:13" x14ac:dyDescent="0.25">
      <c r="A60" s="9">
        <v>8</v>
      </c>
      <c r="B60" s="9" t="s">
        <v>22</v>
      </c>
      <c r="C60" s="9">
        <v>127588824.44731601</v>
      </c>
      <c r="D60" s="9">
        <v>530860934.03952998</v>
      </c>
      <c r="E60" s="9">
        <v>2565303724.8758402</v>
      </c>
      <c r="F60" s="9">
        <v>5741999609.7922497</v>
      </c>
      <c r="G60" s="9">
        <v>1993058688.5857601</v>
      </c>
      <c r="H60" s="9">
        <v>456967698.58748001</v>
      </c>
      <c r="I60" s="9">
        <v>206855671.296175</v>
      </c>
      <c r="J60" s="9">
        <v>107601907.84922899</v>
      </c>
      <c r="K60" s="9">
        <v>23593639.179655001</v>
      </c>
      <c r="L60" s="9">
        <v>0</v>
      </c>
      <c r="M60" s="18">
        <f t="shared" si="0"/>
        <v>11753830698.6532</v>
      </c>
    </row>
    <row r="61" spans="1:13" x14ac:dyDescent="0.25">
      <c r="A61" s="9">
        <v>9</v>
      </c>
      <c r="B61" s="9" t="s">
        <v>23</v>
      </c>
      <c r="C61" s="9">
        <v>59847279.870346002</v>
      </c>
      <c r="D61" s="9">
        <v>2554402507.1854801</v>
      </c>
      <c r="E61" s="9">
        <v>4397737631.1660299</v>
      </c>
      <c r="F61" s="9">
        <v>4289649423.64288</v>
      </c>
      <c r="G61" s="9">
        <v>1327954729.5607901</v>
      </c>
      <c r="H61" s="9">
        <v>434257503.81544501</v>
      </c>
      <c r="I61" s="9">
        <v>234096558.03022599</v>
      </c>
      <c r="J61" s="9">
        <v>78440137.403197005</v>
      </c>
      <c r="K61" s="9">
        <v>7416070.0272709997</v>
      </c>
      <c r="L61" s="9">
        <v>0</v>
      </c>
      <c r="M61" s="18">
        <f t="shared" si="0"/>
        <v>13383801840.7017</v>
      </c>
    </row>
    <row r="62" spans="1:13" x14ac:dyDescent="0.25">
      <c r="A62" s="9">
        <v>10</v>
      </c>
      <c r="B62" s="9" t="s">
        <v>24</v>
      </c>
      <c r="C62" s="9">
        <v>0</v>
      </c>
      <c r="D62" s="9">
        <v>1035153695.89393</v>
      </c>
      <c r="E62" s="9">
        <v>5712797314.3733997</v>
      </c>
      <c r="F62" s="9">
        <v>8105164770.2089396</v>
      </c>
      <c r="G62" s="9">
        <v>2411487138.01513</v>
      </c>
      <c r="H62" s="9">
        <v>629142098.13863802</v>
      </c>
      <c r="I62" s="9">
        <v>356652180.852476</v>
      </c>
      <c r="J62" s="9">
        <v>276283054.742733</v>
      </c>
      <c r="K62" s="9">
        <v>84186578.550010994</v>
      </c>
      <c r="L62" s="9">
        <v>737554.50544400001</v>
      </c>
      <c r="M62" s="18">
        <f t="shared" si="0"/>
        <v>18611604385.280701</v>
      </c>
    </row>
    <row r="63" spans="1:13" x14ac:dyDescent="0.25">
      <c r="A63" s="9">
        <v>11</v>
      </c>
      <c r="B63" s="9" t="s">
        <v>25</v>
      </c>
      <c r="C63" s="9">
        <v>87039536.637004003</v>
      </c>
      <c r="D63" s="9">
        <v>4667787945.0880299</v>
      </c>
      <c r="E63" s="9">
        <v>10186632739.513201</v>
      </c>
      <c r="F63" s="9">
        <v>6253716546.6684904</v>
      </c>
      <c r="G63" s="9">
        <v>738308269.93897402</v>
      </c>
      <c r="H63" s="9">
        <v>76276103.854255006</v>
      </c>
      <c r="I63" s="9">
        <v>53882003.870268002</v>
      </c>
      <c r="J63" s="9">
        <v>55170698.006154001</v>
      </c>
      <c r="K63" s="9">
        <v>1831728.7717629999</v>
      </c>
      <c r="L63" s="9">
        <v>0</v>
      </c>
      <c r="M63" s="18">
        <f t="shared" si="0"/>
        <v>22120645572.348099</v>
      </c>
    </row>
    <row r="64" spans="1:13" x14ac:dyDescent="0.25">
      <c r="A64" s="9">
        <v>12</v>
      </c>
      <c r="B64" s="9" t="s">
        <v>26</v>
      </c>
      <c r="C64" s="9">
        <v>3762695096.98384</v>
      </c>
      <c r="D64" s="9">
        <v>3470323628.0289402</v>
      </c>
      <c r="E64" s="9">
        <v>2120485413.1417699</v>
      </c>
      <c r="F64" s="9">
        <v>1266016361.0925901</v>
      </c>
      <c r="G64" s="9">
        <v>111062740.528622</v>
      </c>
      <c r="H64" s="9">
        <v>3849872.4185279999</v>
      </c>
      <c r="I64" s="9">
        <v>251254.83152499999</v>
      </c>
      <c r="J64" s="9">
        <v>0</v>
      </c>
      <c r="K64" s="9">
        <v>0</v>
      </c>
      <c r="L64" s="9">
        <v>0</v>
      </c>
      <c r="M64" s="18">
        <f t="shared" si="0"/>
        <v>10734684367.025801</v>
      </c>
    </row>
    <row r="65" spans="1:13" x14ac:dyDescent="0.25">
      <c r="A65" s="9">
        <v>13</v>
      </c>
      <c r="B65" s="9" t="s">
        <v>27</v>
      </c>
      <c r="C65" s="9">
        <v>969057465.21372199</v>
      </c>
      <c r="D65" s="9">
        <v>2193803193.9796901</v>
      </c>
      <c r="E65" s="9">
        <v>3979682011.48667</v>
      </c>
      <c r="F65" s="9">
        <v>4580837563.3912497</v>
      </c>
      <c r="G65" s="9">
        <v>773548786.30899894</v>
      </c>
      <c r="H65" s="9">
        <v>53330864.239826001</v>
      </c>
      <c r="I65" s="9">
        <v>3939027.3587469999</v>
      </c>
      <c r="J65" s="9">
        <v>24314.983695999999</v>
      </c>
      <c r="K65" s="9">
        <v>0</v>
      </c>
      <c r="L65" s="9">
        <v>0</v>
      </c>
      <c r="M65" s="18">
        <f t="shared" si="0"/>
        <v>12554223226.962601</v>
      </c>
    </row>
    <row r="66" spans="1:13" x14ac:dyDescent="0.25">
      <c r="A66" s="9">
        <v>14</v>
      </c>
      <c r="B66" s="9" t="s">
        <v>28</v>
      </c>
      <c r="C66" s="9">
        <v>455565534.52767903</v>
      </c>
      <c r="D66" s="9">
        <v>3749475850.8477998</v>
      </c>
      <c r="E66" s="9">
        <v>4775495217.8666096</v>
      </c>
      <c r="F66" s="9">
        <v>3230788618.64538</v>
      </c>
      <c r="G66" s="9">
        <v>521013365.642663</v>
      </c>
      <c r="H66" s="9">
        <v>83919113.729355007</v>
      </c>
      <c r="I66" s="9">
        <v>19962601.614390999</v>
      </c>
      <c r="J66" s="9">
        <v>745659.50000999996</v>
      </c>
      <c r="K66" s="9">
        <v>0</v>
      </c>
      <c r="L66" s="9">
        <v>0</v>
      </c>
      <c r="M66" s="18">
        <f t="shared" si="0"/>
        <v>12836965962.373899</v>
      </c>
    </row>
    <row r="68" spans="1:13" x14ac:dyDescent="0.25">
      <c r="A68" s="9" t="s">
        <v>65</v>
      </c>
      <c r="B68" s="9" t="s">
        <v>30</v>
      </c>
      <c r="C68" s="9" t="s">
        <v>8</v>
      </c>
      <c r="E68" s="9"/>
    </row>
    <row r="69" spans="1:13" x14ac:dyDescent="0.25">
      <c r="A69" s="9">
        <v>1</v>
      </c>
      <c r="B69" s="9" t="s">
        <v>15</v>
      </c>
      <c r="C69" s="13">
        <f t="shared" ref="C69:C82" si="1">25*(C53/M53)+75*(D53/M53)+150*(E53/M53)+350*(F53/M53)+650*(G53/M53)+900*(H53/M53)+1100*(I53/M53)+1350*(J53/M53)+1750*(K53/M53)+2250*(L53/M53)</f>
        <v>744.90175922323795</v>
      </c>
      <c r="D69" s="24"/>
      <c r="E69" s="13"/>
    </row>
    <row r="70" spans="1:13" x14ac:dyDescent="0.25">
      <c r="A70" s="9">
        <v>2</v>
      </c>
      <c r="B70" s="9" t="s">
        <v>16</v>
      </c>
      <c r="C70" s="13">
        <f t="shared" si="1"/>
        <v>32.398820003964303</v>
      </c>
      <c r="D70" s="24"/>
      <c r="E70" s="13"/>
    </row>
    <row r="71" spans="1:13" x14ac:dyDescent="0.25">
      <c r="A71" s="9">
        <v>3</v>
      </c>
      <c r="B71" s="9" t="s">
        <v>17</v>
      </c>
      <c r="C71" s="13">
        <f t="shared" si="1"/>
        <v>323.18494575322899</v>
      </c>
      <c r="D71" s="24"/>
      <c r="E71" s="13"/>
    </row>
    <row r="72" spans="1:13" x14ac:dyDescent="0.25">
      <c r="A72" s="9">
        <v>4</v>
      </c>
      <c r="B72" s="9" t="s">
        <v>18</v>
      </c>
      <c r="C72" s="13">
        <f t="shared" si="1"/>
        <v>273.93128367209198</v>
      </c>
      <c r="D72" s="24"/>
      <c r="E72" s="13"/>
    </row>
    <row r="73" spans="1:13" x14ac:dyDescent="0.25">
      <c r="A73" s="9">
        <v>5</v>
      </c>
      <c r="B73" s="9" t="s">
        <v>19</v>
      </c>
      <c r="C73" s="13">
        <f t="shared" si="1"/>
        <v>156.17446770809599</v>
      </c>
      <c r="D73" s="24"/>
      <c r="E73" s="13"/>
    </row>
    <row r="74" spans="1:13" x14ac:dyDescent="0.25">
      <c r="A74" s="9">
        <v>6</v>
      </c>
      <c r="B74" s="9" t="s">
        <v>20</v>
      </c>
      <c r="C74" s="13">
        <f t="shared" si="1"/>
        <v>530.23603389204595</v>
      </c>
      <c r="D74" s="24"/>
      <c r="E74" s="13"/>
    </row>
    <row r="75" spans="1:13" x14ac:dyDescent="0.25">
      <c r="A75" s="9">
        <v>7</v>
      </c>
      <c r="B75" s="9" t="s">
        <v>21</v>
      </c>
      <c r="C75" s="13">
        <f t="shared" si="1"/>
        <v>545.44110025781902</v>
      </c>
      <c r="D75" s="24"/>
      <c r="E75" s="13"/>
    </row>
    <row r="76" spans="1:13" x14ac:dyDescent="0.25">
      <c r="A76" s="9">
        <v>8</v>
      </c>
      <c r="B76" s="9" t="s">
        <v>22</v>
      </c>
      <c r="C76" s="13">
        <f t="shared" si="1"/>
        <v>387.81837075815901</v>
      </c>
      <c r="D76" s="24"/>
      <c r="E76" s="13"/>
    </row>
    <row r="77" spans="1:13" x14ac:dyDescent="0.25">
      <c r="A77" s="9">
        <v>9</v>
      </c>
      <c r="B77" s="9" t="s">
        <v>23</v>
      </c>
      <c r="C77" s="13">
        <f t="shared" si="1"/>
        <v>297.71026274402698</v>
      </c>
      <c r="D77" s="24"/>
      <c r="E77" s="13"/>
    </row>
    <row r="78" spans="1:13" x14ac:dyDescent="0.25">
      <c r="A78" s="9">
        <v>10</v>
      </c>
      <c r="B78" s="9" t="s">
        <v>24</v>
      </c>
      <c r="C78" s="13">
        <f t="shared" si="1"/>
        <v>366.40279439257603</v>
      </c>
      <c r="D78" s="24"/>
      <c r="E78" s="13"/>
    </row>
    <row r="79" spans="1:13" x14ac:dyDescent="0.25">
      <c r="A79" s="9">
        <v>11</v>
      </c>
      <c r="B79" s="9" t="s">
        <v>25</v>
      </c>
      <c r="C79" s="13">
        <f t="shared" si="1"/>
        <v>214.93770658064599</v>
      </c>
      <c r="D79" s="24"/>
      <c r="E79" s="13"/>
    </row>
    <row r="80" spans="1:13" x14ac:dyDescent="0.25">
      <c r="A80" s="9">
        <v>12</v>
      </c>
      <c r="B80" s="9" t="s">
        <v>26</v>
      </c>
      <c r="C80" s="13">
        <f t="shared" si="1"/>
        <v>110.990895864179</v>
      </c>
      <c r="D80" s="24"/>
      <c r="E80" s="13"/>
    </row>
    <row r="81" spans="1:8" x14ac:dyDescent="0.25">
      <c r="A81" s="9">
        <v>13</v>
      </c>
      <c r="B81" s="9" t="s">
        <v>27</v>
      </c>
      <c r="C81" s="13">
        <f t="shared" si="1"/>
        <v>234.51688854829999</v>
      </c>
      <c r="D81" s="24"/>
      <c r="E81" s="13"/>
    </row>
    <row r="82" spans="1:8" x14ac:dyDescent="0.25">
      <c r="A82" s="9">
        <v>14</v>
      </c>
      <c r="B82" s="9" t="s">
        <v>28</v>
      </c>
      <c r="C82" s="13">
        <f t="shared" si="1"/>
        <v>200.73680385697</v>
      </c>
      <c r="D82" s="24"/>
      <c r="E82" s="13"/>
    </row>
    <row r="83" spans="1:8" x14ac:dyDescent="0.25">
      <c r="A83" s="9"/>
      <c r="B83" s="9"/>
      <c r="C83" s="13"/>
      <c r="D83" s="24"/>
    </row>
    <row r="85" spans="1:8" x14ac:dyDescent="0.25">
      <c r="A85" s="25" t="s">
        <v>66</v>
      </c>
      <c r="B85" s="26" t="s">
        <v>67</v>
      </c>
      <c r="C85" s="27"/>
      <c r="D85" s="28"/>
      <c r="E85" s="28"/>
      <c r="F85" s="28"/>
      <c r="G85" s="28"/>
      <c r="H85" s="28"/>
    </row>
    <row r="86" spans="1:8" x14ac:dyDescent="0.25">
      <c r="A86" s="29" t="s">
        <v>68</v>
      </c>
      <c r="B86" s="30" t="s">
        <v>69</v>
      </c>
      <c r="C86" s="31">
        <v>100</v>
      </c>
      <c r="D86" s="15">
        <v>64.336307039647394</v>
      </c>
      <c r="E86" s="15">
        <v>5.6979088553596204</v>
      </c>
      <c r="F86" s="15">
        <v>22.966491167871101</v>
      </c>
      <c r="G86" s="15">
        <v>4.0364666166743</v>
      </c>
      <c r="H86" s="15">
        <v>2.96282632044759</v>
      </c>
    </row>
    <row r="87" spans="1:8" x14ac:dyDescent="0.25">
      <c r="A87" s="29" t="s">
        <v>70</v>
      </c>
      <c r="B87" s="30" t="s">
        <v>71</v>
      </c>
      <c r="C87" s="31">
        <v>100</v>
      </c>
      <c r="D87" s="15">
        <v>61.704536709825099</v>
      </c>
      <c r="E87" s="15">
        <v>10.0668735920401</v>
      </c>
      <c r="F87" s="15">
        <v>21.5367766762607</v>
      </c>
      <c r="G87" s="15">
        <v>2.21272391635185</v>
      </c>
      <c r="H87" s="15">
        <v>4.4790891055222799</v>
      </c>
    </row>
    <row r="88" spans="1:8" x14ac:dyDescent="0.25">
      <c r="A88" s="29" t="s">
        <v>72</v>
      </c>
      <c r="B88" s="30" t="s">
        <v>73</v>
      </c>
      <c r="C88" s="31">
        <v>100</v>
      </c>
      <c r="D88" s="15">
        <v>75.5827815561248</v>
      </c>
      <c r="E88" s="15">
        <v>3.9268717213636699</v>
      </c>
      <c r="F88" s="15">
        <v>15.772131107318399</v>
      </c>
      <c r="G88" s="15">
        <v>1.51430133896995</v>
      </c>
      <c r="H88" s="15">
        <v>3.2039142762231898</v>
      </c>
    </row>
    <row r="89" spans="1:8" x14ac:dyDescent="0.25">
      <c r="A89" s="29" t="s">
        <v>74</v>
      </c>
      <c r="B89" s="30" t="s">
        <v>75</v>
      </c>
      <c r="C89" s="31">
        <v>100</v>
      </c>
      <c r="D89" s="15">
        <v>56.397346209614398</v>
      </c>
      <c r="E89" s="15">
        <v>16.520188095508601</v>
      </c>
      <c r="F89" s="15">
        <v>19.0040691648713</v>
      </c>
      <c r="G89" s="15">
        <v>3.9195755647513302</v>
      </c>
      <c r="H89" s="15">
        <v>4.1588209652544004</v>
      </c>
    </row>
    <row r="90" spans="1:8" x14ac:dyDescent="0.25">
      <c r="A90" s="29" t="s">
        <v>76</v>
      </c>
      <c r="B90" s="30" t="s">
        <v>77</v>
      </c>
      <c r="C90" s="31">
        <v>100</v>
      </c>
      <c r="D90" s="15">
        <v>26.121173599891701</v>
      </c>
      <c r="E90" s="15">
        <v>2.1119131369553599</v>
      </c>
      <c r="F90" s="15">
        <v>10.268917634204399</v>
      </c>
      <c r="G90" s="15">
        <v>58.105621710550402</v>
      </c>
      <c r="H90" s="15">
        <v>3.39237391839817</v>
      </c>
    </row>
    <row r="91" spans="1:8" x14ac:dyDescent="0.25">
      <c r="A91" s="29" t="s">
        <v>78</v>
      </c>
      <c r="B91" s="30" t="s">
        <v>79</v>
      </c>
      <c r="C91" s="31">
        <v>100</v>
      </c>
      <c r="D91" s="15">
        <v>28.1429389997116</v>
      </c>
      <c r="E91" s="15">
        <v>14.855532237372501</v>
      </c>
      <c r="F91" s="15">
        <v>8.4787823001553697</v>
      </c>
      <c r="G91" s="15">
        <v>42.912344830973801</v>
      </c>
      <c r="H91" s="15">
        <v>5.6104016317868002</v>
      </c>
    </row>
    <row r="92" spans="1:8" x14ac:dyDescent="0.25">
      <c r="A92" s="29" t="s">
        <v>80</v>
      </c>
      <c r="B92" s="30" t="s">
        <v>81</v>
      </c>
      <c r="C92" s="31">
        <v>100</v>
      </c>
      <c r="D92" s="15">
        <v>52.697219057732902</v>
      </c>
      <c r="E92" s="15">
        <v>7.5611720206348698</v>
      </c>
      <c r="F92" s="15">
        <v>18.901630995928301</v>
      </c>
      <c r="G92" s="15">
        <v>15.957215564757901</v>
      </c>
      <c r="H92" s="15">
        <v>4.88276236094607</v>
      </c>
    </row>
    <row r="93" spans="1:8" x14ac:dyDescent="0.25">
      <c r="A93" s="29" t="s">
        <v>82</v>
      </c>
      <c r="B93" s="30" t="s">
        <v>83</v>
      </c>
      <c r="C93" s="31">
        <v>100</v>
      </c>
      <c r="D93" s="15">
        <v>51.558438945713</v>
      </c>
      <c r="E93" s="15">
        <v>6.8902395343641203</v>
      </c>
      <c r="F93" s="15">
        <v>26.819763516414302</v>
      </c>
      <c r="G93" s="15">
        <v>8.8974052615030992</v>
      </c>
      <c r="H93" s="15">
        <v>5.8341527420055002</v>
      </c>
    </row>
    <row r="94" spans="1:8" x14ac:dyDescent="0.25">
      <c r="A94" s="29" t="s">
        <v>84</v>
      </c>
      <c r="B94" s="30" t="s">
        <v>85</v>
      </c>
      <c r="C94" s="31">
        <v>100</v>
      </c>
      <c r="D94" s="15">
        <v>47.608053853256003</v>
      </c>
      <c r="E94" s="15">
        <v>4.96631249068475</v>
      </c>
      <c r="F94" s="15">
        <v>35.660071881761198</v>
      </c>
      <c r="G94" s="15">
        <v>3.5408953897001001</v>
      </c>
      <c r="H94" s="15">
        <v>8.2246663845979704</v>
      </c>
    </row>
    <row r="95" spans="1:8" x14ac:dyDescent="0.25">
      <c r="A95" s="29" t="s">
        <v>86</v>
      </c>
      <c r="B95" s="30" t="s">
        <v>87</v>
      </c>
      <c r="C95" s="31">
        <v>100</v>
      </c>
      <c r="D95" s="15">
        <v>57.3066499285774</v>
      </c>
      <c r="E95" s="15">
        <v>13.205400424167101</v>
      </c>
      <c r="F95" s="15">
        <v>21.571540907071501</v>
      </c>
      <c r="G95" s="15">
        <v>2.7541932458018099</v>
      </c>
      <c r="H95" s="15">
        <v>5.1622154943822203</v>
      </c>
    </row>
    <row r="96" spans="1:8" x14ac:dyDescent="0.25">
      <c r="A96" s="29" t="s">
        <v>88</v>
      </c>
      <c r="B96" s="30" t="s">
        <v>89</v>
      </c>
      <c r="C96" s="31">
        <v>100</v>
      </c>
      <c r="D96" s="15">
        <v>61.224474749128603</v>
      </c>
      <c r="E96" s="15">
        <v>8.6135268250928299</v>
      </c>
      <c r="F96" s="15">
        <v>19.140608921924901</v>
      </c>
      <c r="G96" s="15">
        <v>3.9676831757212399</v>
      </c>
      <c r="H96" s="15">
        <v>7.0537063281325203</v>
      </c>
    </row>
    <row r="97" spans="1:8" x14ac:dyDescent="0.25">
      <c r="A97" s="29" t="s">
        <v>90</v>
      </c>
      <c r="B97" s="30" t="s">
        <v>91</v>
      </c>
      <c r="C97" s="31">
        <v>100</v>
      </c>
      <c r="D97" s="15">
        <v>43.889000120345997</v>
      </c>
      <c r="E97" s="15">
        <v>11.0672409944649</v>
      </c>
      <c r="F97" s="15">
        <v>39.084678627121903</v>
      </c>
      <c r="G97" s="15">
        <v>2.1131909456189</v>
      </c>
      <c r="H97" s="15">
        <v>3.8458893124483802</v>
      </c>
    </row>
    <row r="98" spans="1:8" x14ac:dyDescent="0.25">
      <c r="A98" s="29" t="s">
        <v>92</v>
      </c>
      <c r="B98" s="30" t="s">
        <v>93</v>
      </c>
      <c r="C98" s="31">
        <v>100</v>
      </c>
      <c r="D98" s="15">
        <v>61.588892102150901</v>
      </c>
      <c r="E98" s="15">
        <v>8.0541250351190996</v>
      </c>
      <c r="F98" s="15">
        <v>22.422098674713698</v>
      </c>
      <c r="G98" s="15">
        <v>2.4805574363257699</v>
      </c>
      <c r="H98" s="15">
        <v>5.45432675169058</v>
      </c>
    </row>
    <row r="99" spans="1:8" x14ac:dyDescent="0.25">
      <c r="A99" s="32" t="s">
        <v>94</v>
      </c>
      <c r="B99" s="33" t="s">
        <v>95</v>
      </c>
      <c r="C99" s="34">
        <v>100</v>
      </c>
      <c r="D99" s="16">
        <v>69.790032622502906</v>
      </c>
      <c r="E99" s="16">
        <v>12.720615354754701</v>
      </c>
      <c r="F99" s="16">
        <v>11.4390624222347</v>
      </c>
      <c r="G99" s="16">
        <v>2.2177181035638398</v>
      </c>
      <c r="H99" s="16">
        <v>3.8325714969438902</v>
      </c>
    </row>
    <row r="101" spans="1:8" x14ac:dyDescent="0.25">
      <c r="A101" s="9" t="s">
        <v>65</v>
      </c>
      <c r="B101" s="9" t="s">
        <v>30</v>
      </c>
      <c r="C101" t="s">
        <v>10</v>
      </c>
      <c r="D101" t="s">
        <v>11</v>
      </c>
      <c r="E101" t="s">
        <v>12</v>
      </c>
      <c r="F101" t="s">
        <v>13</v>
      </c>
      <c r="G101" t="s">
        <v>14</v>
      </c>
    </row>
    <row r="102" spans="1:8" x14ac:dyDescent="0.25">
      <c r="A102" s="9">
        <v>1</v>
      </c>
      <c r="B102" s="9" t="s">
        <v>15</v>
      </c>
      <c r="C102" s="15">
        <v>57.3066499285774</v>
      </c>
      <c r="D102" s="15">
        <v>13.205400424167101</v>
      </c>
      <c r="E102" s="15">
        <v>21.571540907071501</v>
      </c>
      <c r="F102" s="15">
        <v>2.7541932458018099</v>
      </c>
      <c r="G102" s="15">
        <v>5.1622154943822203</v>
      </c>
    </row>
    <row r="103" spans="1:8" x14ac:dyDescent="0.25">
      <c r="A103" s="9">
        <v>2</v>
      </c>
      <c r="B103" s="9" t="s">
        <v>16</v>
      </c>
      <c r="C103" s="15">
        <v>26.121173599891701</v>
      </c>
      <c r="D103" s="15">
        <v>2.1119131369553599</v>
      </c>
      <c r="E103" s="15">
        <v>10.268917634204399</v>
      </c>
      <c r="F103" s="15">
        <v>58.105621710550402</v>
      </c>
      <c r="G103" s="15">
        <v>3.39237391839817</v>
      </c>
    </row>
    <row r="104" spans="1:8" x14ac:dyDescent="0.25">
      <c r="A104" s="9">
        <v>3</v>
      </c>
      <c r="B104" s="9" t="s">
        <v>17</v>
      </c>
      <c r="C104" s="16">
        <v>69.790032622502906</v>
      </c>
      <c r="D104" s="16">
        <v>12.720615354754701</v>
      </c>
      <c r="E104" s="16">
        <v>11.4390624222347</v>
      </c>
      <c r="F104" s="16">
        <v>2.2177181035638398</v>
      </c>
      <c r="G104" s="16">
        <v>3.8325714969438902</v>
      </c>
    </row>
    <row r="105" spans="1:8" x14ac:dyDescent="0.25">
      <c r="A105" s="9">
        <v>4</v>
      </c>
      <c r="B105" s="9" t="s">
        <v>18</v>
      </c>
      <c r="C105" s="15">
        <v>28.1429389997116</v>
      </c>
      <c r="D105" s="15">
        <v>14.855532237372501</v>
      </c>
      <c r="E105" s="15">
        <v>8.4787823001553697</v>
      </c>
      <c r="F105" s="15">
        <v>42.912344830973801</v>
      </c>
      <c r="G105" s="15">
        <v>5.6104016317868002</v>
      </c>
    </row>
    <row r="106" spans="1:8" x14ac:dyDescent="0.25">
      <c r="A106" s="9">
        <v>5</v>
      </c>
      <c r="B106" s="9" t="s">
        <v>19</v>
      </c>
      <c r="C106" s="15">
        <v>51.558438945713</v>
      </c>
      <c r="D106" s="15">
        <v>6.8902395343641203</v>
      </c>
      <c r="E106" s="15">
        <v>26.819763516414302</v>
      </c>
      <c r="F106" s="15">
        <v>8.8974052615030992</v>
      </c>
      <c r="G106" s="15">
        <v>5.8341527420055002</v>
      </c>
    </row>
    <row r="107" spans="1:8" x14ac:dyDescent="0.25">
      <c r="A107" s="9">
        <v>6</v>
      </c>
      <c r="B107" s="9" t="s">
        <v>20</v>
      </c>
      <c r="C107" s="15">
        <v>75.5827815561248</v>
      </c>
      <c r="D107" s="15">
        <v>3.9268717213636699</v>
      </c>
      <c r="E107" s="15">
        <v>15.772131107318399</v>
      </c>
      <c r="F107" s="15">
        <v>1.51430133896995</v>
      </c>
      <c r="G107" s="15">
        <v>3.2039142762231898</v>
      </c>
    </row>
    <row r="108" spans="1:8" x14ac:dyDescent="0.25">
      <c r="A108" s="9">
        <v>7</v>
      </c>
      <c r="B108" s="9" t="s">
        <v>21</v>
      </c>
      <c r="C108" s="15">
        <v>43.889000120345997</v>
      </c>
      <c r="D108" s="15">
        <v>11.0672409944649</v>
      </c>
      <c r="E108" s="15">
        <v>39.084678627121903</v>
      </c>
      <c r="F108" s="15">
        <v>2.1131909456189</v>
      </c>
      <c r="G108" s="15">
        <v>3.8458893124483802</v>
      </c>
    </row>
    <row r="109" spans="1:8" x14ac:dyDescent="0.25">
      <c r="A109" s="9">
        <v>8</v>
      </c>
      <c r="B109" s="9" t="s">
        <v>22</v>
      </c>
      <c r="C109" s="15">
        <v>61.224474749128603</v>
      </c>
      <c r="D109" s="15">
        <v>8.6135268250928299</v>
      </c>
      <c r="E109" s="15">
        <v>19.140608921924901</v>
      </c>
      <c r="F109" s="15">
        <v>3.9676831757212399</v>
      </c>
      <c r="G109" s="15">
        <v>7.0537063281325203</v>
      </c>
    </row>
    <row r="110" spans="1:8" x14ac:dyDescent="0.25">
      <c r="A110" s="9">
        <v>9</v>
      </c>
      <c r="B110" s="9" t="s">
        <v>23</v>
      </c>
      <c r="C110" s="15">
        <v>61.588892102150901</v>
      </c>
      <c r="D110" s="15">
        <v>8.0541250351190996</v>
      </c>
      <c r="E110" s="15">
        <v>22.422098674713698</v>
      </c>
      <c r="F110" s="15">
        <v>2.4805574363257699</v>
      </c>
      <c r="G110" s="15">
        <v>5.45432675169058</v>
      </c>
    </row>
    <row r="111" spans="1:8" x14ac:dyDescent="0.25">
      <c r="A111" s="9">
        <v>10</v>
      </c>
      <c r="B111" s="9" t="s">
        <v>24</v>
      </c>
      <c r="C111" s="15">
        <v>61.704536709825099</v>
      </c>
      <c r="D111" s="15">
        <v>10.0668735920401</v>
      </c>
      <c r="E111" s="15">
        <v>21.5367766762607</v>
      </c>
      <c r="F111" s="15">
        <v>2.21272391635185</v>
      </c>
      <c r="G111" s="15">
        <v>4.4790891055222799</v>
      </c>
    </row>
    <row r="112" spans="1:8" x14ac:dyDescent="0.25">
      <c r="A112" s="9">
        <v>11</v>
      </c>
      <c r="B112" s="9" t="s">
        <v>25</v>
      </c>
      <c r="C112" s="15">
        <v>64.336307039647394</v>
      </c>
      <c r="D112" s="15">
        <v>5.6979088553596204</v>
      </c>
      <c r="E112" s="15">
        <v>22.966491167871101</v>
      </c>
      <c r="F112" s="15">
        <v>4.0364666166743</v>
      </c>
      <c r="G112" s="15">
        <v>2.96282632044759</v>
      </c>
    </row>
    <row r="113" spans="1:10" x14ac:dyDescent="0.25">
      <c r="A113" s="9">
        <v>12</v>
      </c>
      <c r="B113" s="9" t="s">
        <v>26</v>
      </c>
      <c r="C113" s="15">
        <v>52.697219057732902</v>
      </c>
      <c r="D113" s="15">
        <v>7.5611720206348698</v>
      </c>
      <c r="E113" s="15">
        <v>18.901630995928301</v>
      </c>
      <c r="F113" s="15">
        <v>15.957215564757901</v>
      </c>
      <c r="G113" s="15">
        <v>4.88276236094607</v>
      </c>
    </row>
    <row r="114" spans="1:10" x14ac:dyDescent="0.25">
      <c r="A114" s="9">
        <v>13</v>
      </c>
      <c r="B114" s="9" t="s">
        <v>27</v>
      </c>
      <c r="C114" s="15">
        <v>56.397346209614398</v>
      </c>
      <c r="D114" s="15">
        <v>16.520188095508601</v>
      </c>
      <c r="E114" s="15">
        <v>19.0040691648713</v>
      </c>
      <c r="F114" s="15">
        <v>3.9195755647513302</v>
      </c>
      <c r="G114" s="15">
        <v>4.1588209652544004</v>
      </c>
    </row>
    <row r="115" spans="1:10" x14ac:dyDescent="0.25">
      <c r="A115" s="9">
        <v>14</v>
      </c>
      <c r="B115" s="9" t="s">
        <v>28</v>
      </c>
      <c r="C115" s="15">
        <v>47.608053853256003</v>
      </c>
      <c r="D115" s="15">
        <v>4.96631249068475</v>
      </c>
      <c r="E115" s="15">
        <v>35.660071881761198</v>
      </c>
      <c r="F115" s="15">
        <v>3.5408953897001001</v>
      </c>
      <c r="G115" s="15">
        <v>8.2246663845979704</v>
      </c>
    </row>
    <row r="117" spans="1:10" x14ac:dyDescent="0.25">
      <c r="B117" s="9" t="s">
        <v>96</v>
      </c>
      <c r="C117" s="9" t="s">
        <v>97</v>
      </c>
      <c r="D117" s="9" t="s">
        <v>98</v>
      </c>
      <c r="E117" s="9" t="s">
        <v>99</v>
      </c>
      <c r="F117" t="s">
        <v>4</v>
      </c>
      <c r="G117" t="s">
        <v>5</v>
      </c>
      <c r="H117" t="s">
        <v>6</v>
      </c>
      <c r="I117" t="s">
        <v>7</v>
      </c>
      <c r="J117" t="s">
        <v>100</v>
      </c>
    </row>
    <row r="118" spans="1:10" x14ac:dyDescent="0.25">
      <c r="A118" s="9" t="s">
        <v>15</v>
      </c>
      <c r="B118" s="10">
        <v>210527233.83426699</v>
      </c>
      <c r="C118" s="11">
        <v>31330205007.022598</v>
      </c>
      <c r="D118" s="11">
        <v>4894800737.8681698</v>
      </c>
      <c r="E118" s="10">
        <v>2828643.10329775</v>
      </c>
      <c r="F118">
        <f>B118/SUM(B118:E118)</f>
        <v>5.7776262286214101E-3</v>
      </c>
      <c r="G118">
        <f>C118/SUM(B118:E118)</f>
        <v>0.85981376803325604</v>
      </c>
      <c r="H118">
        <f>D118/SUM(B118:E118)</f>
        <v>0.134330977574358</v>
      </c>
      <c r="I118">
        <f>E118/SUM(B118:E118)</f>
        <v>7.7628163764730193E-5</v>
      </c>
      <c r="J118">
        <f>SUM(F118:I118)</f>
        <v>1</v>
      </c>
    </row>
    <row r="119" spans="1:10" x14ac:dyDescent="0.25">
      <c r="A119" s="9" t="s">
        <v>16</v>
      </c>
      <c r="B119" s="10">
        <v>2340065925.9055099</v>
      </c>
      <c r="C119" s="11">
        <v>19695136.793735102</v>
      </c>
      <c r="D119" s="11">
        <v>1115782181.8297701</v>
      </c>
      <c r="E119" s="10">
        <v>0</v>
      </c>
      <c r="F119">
        <f>B119/SUM(B119:E119)</f>
        <v>0.67329501066893505</v>
      </c>
      <c r="G119">
        <f t="shared" ref="G119:G131" si="2">C119/SUM(B119:E119)</f>
        <v>5.6667793803854899E-3</v>
      </c>
      <c r="H119">
        <f t="shared" ref="H119:H131" si="3">D119/SUM(B119:E119)</f>
        <v>0.321038209950679</v>
      </c>
      <c r="I119">
        <f t="shared" ref="I119:I131" si="4">E119/SUM(B119:E119)</f>
        <v>0</v>
      </c>
      <c r="J119">
        <f t="shared" ref="J119:J131" si="5">SUM(F119:I119)</f>
        <v>1</v>
      </c>
    </row>
    <row r="120" spans="1:10" x14ac:dyDescent="0.25">
      <c r="A120" s="9" t="s">
        <v>17</v>
      </c>
      <c r="B120" s="10">
        <v>388415654.55397701</v>
      </c>
      <c r="C120" s="11">
        <v>7777163745.1448803</v>
      </c>
      <c r="D120" s="11">
        <v>9246955879.5988293</v>
      </c>
      <c r="E120" s="10">
        <v>5649181.2120301798</v>
      </c>
      <c r="F120">
        <f t="shared" ref="F120:F131" si="6">B120/SUM(B120:E120)</f>
        <v>2.2299433987198199E-2</v>
      </c>
      <c r="G120">
        <f t="shared" si="2"/>
        <v>0.44649680698795902</v>
      </c>
      <c r="H120">
        <f t="shared" si="3"/>
        <v>0.53087943238650404</v>
      </c>
      <c r="I120">
        <f t="shared" si="4"/>
        <v>3.2432663833810801E-4</v>
      </c>
      <c r="J120">
        <f t="shared" si="5"/>
        <v>1</v>
      </c>
    </row>
    <row r="121" spans="1:10" x14ac:dyDescent="0.25">
      <c r="A121" s="9" t="s">
        <v>18</v>
      </c>
      <c r="B121" s="10">
        <v>425390639.76098102</v>
      </c>
      <c r="C121" s="11">
        <v>2566049384.3758502</v>
      </c>
      <c r="D121" s="11">
        <v>3015365968.0936599</v>
      </c>
      <c r="E121" s="10">
        <v>9280218.7772949208</v>
      </c>
      <c r="F121">
        <f t="shared" si="6"/>
        <v>7.0708867001046796E-2</v>
      </c>
      <c r="G121">
        <f t="shared" si="2"/>
        <v>0.42653135184144902</v>
      </c>
      <c r="H121">
        <f t="shared" si="3"/>
        <v>0.50121721370554295</v>
      </c>
      <c r="I121">
        <f t="shared" si="4"/>
        <v>1.54256745196149E-3</v>
      </c>
      <c r="J121">
        <f t="shared" si="5"/>
        <v>1</v>
      </c>
    </row>
    <row r="122" spans="1:10" x14ac:dyDescent="0.25">
      <c r="A122" s="9" t="s">
        <v>19</v>
      </c>
      <c r="B122" s="10">
        <v>3276233323.1731501</v>
      </c>
      <c r="C122" s="11">
        <v>2533840135.9732599</v>
      </c>
      <c r="D122" s="11">
        <v>4801722980.2799997</v>
      </c>
      <c r="E122" s="10">
        <v>0</v>
      </c>
      <c r="F122">
        <f t="shared" si="6"/>
        <v>0.30873503293003601</v>
      </c>
      <c r="G122">
        <f t="shared" si="2"/>
        <v>0.23877579544959901</v>
      </c>
      <c r="H122">
        <f t="shared" si="3"/>
        <v>0.452489171620365</v>
      </c>
      <c r="I122">
        <f t="shared" si="4"/>
        <v>0</v>
      </c>
      <c r="J122">
        <f t="shared" si="5"/>
        <v>1</v>
      </c>
    </row>
    <row r="123" spans="1:10" x14ac:dyDescent="0.25">
      <c r="A123" s="9" t="s">
        <v>20</v>
      </c>
      <c r="B123" s="10">
        <v>845075363.34797502</v>
      </c>
      <c r="C123" s="11">
        <v>19868089272.7645</v>
      </c>
      <c r="D123" s="11">
        <v>6830873209.6651497</v>
      </c>
      <c r="E123" s="10">
        <v>110284661.05035099</v>
      </c>
      <c r="F123">
        <f t="shared" si="6"/>
        <v>3.0558527085207801E-2</v>
      </c>
      <c r="G123">
        <f t="shared" si="2"/>
        <v>0.71844426012819396</v>
      </c>
      <c r="H123">
        <f t="shared" si="3"/>
        <v>0.247009240887336</v>
      </c>
      <c r="I123">
        <f t="shared" si="4"/>
        <v>3.9879718992617197E-3</v>
      </c>
      <c r="J123">
        <f t="shared" si="5"/>
        <v>1</v>
      </c>
    </row>
    <row r="124" spans="1:10" x14ac:dyDescent="0.25">
      <c r="A124" s="9" t="s">
        <v>21</v>
      </c>
      <c r="B124" s="10">
        <v>101733891.783935</v>
      </c>
      <c r="C124" s="11">
        <v>27335958320.302101</v>
      </c>
      <c r="D124" s="11">
        <v>6062211735.0790396</v>
      </c>
      <c r="E124" s="10">
        <v>61938368.468198903</v>
      </c>
      <c r="F124">
        <f t="shared" si="6"/>
        <v>3.0312368083723101E-3</v>
      </c>
      <c r="G124">
        <f t="shared" si="2"/>
        <v>0.81449516576653702</v>
      </c>
      <c r="H124">
        <f t="shared" si="3"/>
        <v>0.180628097768496</v>
      </c>
      <c r="I124">
        <f t="shared" si="4"/>
        <v>1.84549965659506E-3</v>
      </c>
      <c r="J124">
        <f t="shared" si="5"/>
        <v>1</v>
      </c>
    </row>
    <row r="125" spans="1:10" x14ac:dyDescent="0.25">
      <c r="A125" s="9" t="s">
        <v>22</v>
      </c>
      <c r="B125" s="10">
        <v>344170489.22187901</v>
      </c>
      <c r="C125" s="11">
        <v>7620737350.0341501</v>
      </c>
      <c r="D125" s="11">
        <v>3707597343.9287801</v>
      </c>
      <c r="E125" s="10">
        <v>81325515.468451694</v>
      </c>
      <c r="F125">
        <f t="shared" si="6"/>
        <v>2.9281559182344999E-2</v>
      </c>
      <c r="G125">
        <f t="shared" si="2"/>
        <v>0.64836201451389996</v>
      </c>
      <c r="H125">
        <f t="shared" si="3"/>
        <v>0.315437361570436</v>
      </c>
      <c r="I125">
        <f t="shared" si="4"/>
        <v>6.9190647333187997E-3</v>
      </c>
      <c r="J125">
        <f t="shared" si="5"/>
        <v>1</v>
      </c>
    </row>
    <row r="126" spans="1:10" x14ac:dyDescent="0.25">
      <c r="A126" s="9" t="s">
        <v>23</v>
      </c>
      <c r="B126" s="10">
        <v>1031741493.1819299</v>
      </c>
      <c r="C126" s="11">
        <v>5901100653.1095505</v>
      </c>
      <c r="D126" s="11">
        <v>6450335609.8286695</v>
      </c>
      <c r="E126" s="10">
        <v>624084.58152987598</v>
      </c>
      <c r="F126">
        <f t="shared" si="6"/>
        <v>7.7088820162017499E-2</v>
      </c>
      <c r="G126">
        <f t="shared" si="2"/>
        <v>0.44091363002429002</v>
      </c>
      <c r="H126">
        <f t="shared" si="3"/>
        <v>0.48195091997047201</v>
      </c>
      <c r="I126">
        <f t="shared" si="4"/>
        <v>4.6629843220777799E-5</v>
      </c>
      <c r="J126">
        <f t="shared" si="5"/>
        <v>1</v>
      </c>
    </row>
    <row r="127" spans="1:10" x14ac:dyDescent="0.25">
      <c r="A127" s="9" t="s">
        <v>24</v>
      </c>
      <c r="B127" s="10">
        <v>470665139.40287602</v>
      </c>
      <c r="C127" s="11">
        <v>10416871320.1304</v>
      </c>
      <c r="D127" s="11">
        <v>7721166337.6930704</v>
      </c>
      <c r="E127" s="10">
        <v>2901588.0543856602</v>
      </c>
      <c r="F127">
        <f t="shared" si="6"/>
        <v>2.52887999153425E-2</v>
      </c>
      <c r="G127">
        <f t="shared" si="2"/>
        <v>0.55969765445738495</v>
      </c>
      <c r="H127">
        <f t="shared" si="3"/>
        <v>0.41485764353552801</v>
      </c>
      <c r="I127">
        <f t="shared" si="4"/>
        <v>1.5590209174446199E-4</v>
      </c>
      <c r="J127">
        <f t="shared" si="5"/>
        <v>1</v>
      </c>
    </row>
    <row r="128" spans="1:10" x14ac:dyDescent="0.25">
      <c r="A128" s="9" t="s">
        <v>25</v>
      </c>
      <c r="B128" s="10">
        <v>3373695882.8211598</v>
      </c>
      <c r="C128" s="11">
        <v>5267841217.7317305</v>
      </c>
      <c r="D128" s="11">
        <v>13477925142.5888</v>
      </c>
      <c r="E128" s="10">
        <v>1183329.2065371701</v>
      </c>
      <c r="F128">
        <f t="shared" si="6"/>
        <v>0.152513445947456</v>
      </c>
      <c r="G128">
        <f t="shared" si="2"/>
        <v>0.23814138699083701</v>
      </c>
      <c r="H128">
        <f t="shared" si="3"/>
        <v>0.60929167272752605</v>
      </c>
      <c r="I128">
        <f t="shared" si="4"/>
        <v>5.3494334180571297E-5</v>
      </c>
      <c r="J128">
        <f t="shared" si="5"/>
        <v>1</v>
      </c>
    </row>
    <row r="129" spans="1:10" x14ac:dyDescent="0.25">
      <c r="A129" s="9" t="s">
        <v>26</v>
      </c>
      <c r="B129" s="10">
        <v>1214298390.77127</v>
      </c>
      <c r="C129" s="11">
        <v>1948659528.35693</v>
      </c>
      <c r="D129" s="11">
        <v>7571726447.8976402</v>
      </c>
      <c r="E129" s="10">
        <v>0</v>
      </c>
      <c r="F129">
        <f t="shared" si="6"/>
        <v>0.11311915183098201</v>
      </c>
      <c r="G129">
        <f t="shared" si="2"/>
        <v>0.181529280389716</v>
      </c>
      <c r="H129">
        <f t="shared" si="3"/>
        <v>0.70535156777930197</v>
      </c>
      <c r="I129">
        <f t="shared" si="4"/>
        <v>0</v>
      </c>
      <c r="J129">
        <f t="shared" si="5"/>
        <v>1</v>
      </c>
    </row>
    <row r="130" spans="1:10" x14ac:dyDescent="0.25">
      <c r="A130" s="9" t="s">
        <v>27</v>
      </c>
      <c r="B130" s="10">
        <v>73747345.549874604</v>
      </c>
      <c r="C130" s="11">
        <v>5489131884.3487501</v>
      </c>
      <c r="D130" s="11">
        <v>6989447428.3357</v>
      </c>
      <c r="E130" s="10">
        <v>1896568.7282856</v>
      </c>
      <c r="F130">
        <f t="shared" si="6"/>
        <v>5.8743057389236096E-3</v>
      </c>
      <c r="G130">
        <f t="shared" si="2"/>
        <v>0.43723389214234998</v>
      </c>
      <c r="H130">
        <f t="shared" si="3"/>
        <v>0.55674073194146501</v>
      </c>
      <c r="I130">
        <f t="shared" si="4"/>
        <v>1.51070177262131E-4</v>
      </c>
      <c r="J130">
        <f t="shared" si="5"/>
        <v>1</v>
      </c>
    </row>
    <row r="131" spans="1:10" x14ac:dyDescent="0.25">
      <c r="A131" s="9" t="s">
        <v>28</v>
      </c>
      <c r="B131" s="10">
        <v>1201419554.40697</v>
      </c>
      <c r="C131" s="11">
        <v>3690471490.41225</v>
      </c>
      <c r="D131" s="11">
        <v>7945074917.5546799</v>
      </c>
      <c r="E131" s="10">
        <v>0</v>
      </c>
      <c r="F131">
        <f t="shared" si="6"/>
        <v>9.35906161883127E-2</v>
      </c>
      <c r="G131">
        <f t="shared" si="2"/>
        <v>0.28748783016402002</v>
      </c>
      <c r="H131">
        <f t="shared" si="3"/>
        <v>0.61892155364766799</v>
      </c>
      <c r="I131">
        <f t="shared" si="4"/>
        <v>0</v>
      </c>
      <c r="J131">
        <f t="shared" si="5"/>
        <v>1</v>
      </c>
    </row>
  </sheetData>
  <mergeCells count="13">
    <mergeCell ref="A1:G1"/>
    <mergeCell ref="D2:E2"/>
    <mergeCell ref="A3:C3"/>
    <mergeCell ref="A4:B4"/>
    <mergeCell ref="D5:G5"/>
    <mergeCell ref="A51:M51"/>
    <mergeCell ref="A5:A9"/>
    <mergeCell ref="B5:B9"/>
    <mergeCell ref="K5:U5"/>
    <mergeCell ref="D6:G6"/>
    <mergeCell ref="G8:P8"/>
    <mergeCell ref="Q8:AA8"/>
    <mergeCell ref="A32:K32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tabSelected="1" topLeftCell="A13" workbookViewId="0">
      <selection activeCell="A23" sqref="A23:A36"/>
    </sheetView>
  </sheetViews>
  <sheetFormatPr defaultColWidth="8.7265625" defaultRowHeight="14" x14ac:dyDescent="0.25"/>
  <cols>
    <col min="2" max="2" width="14.08984375" customWidth="1"/>
    <col min="3" max="11" width="12.81640625"/>
    <col min="12" max="12" width="21.1796875" customWidth="1"/>
  </cols>
  <sheetData>
    <row r="1" spans="1:12" x14ac:dyDescent="0.25">
      <c r="A1" s="35" t="s">
        <v>101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2" x14ac:dyDescent="0.25">
      <c r="A2" s="9" t="s">
        <v>30</v>
      </c>
      <c r="B2" s="11">
        <v>0</v>
      </c>
      <c r="C2" s="19" t="s">
        <v>31</v>
      </c>
      <c r="D2" s="19" t="s">
        <v>32</v>
      </c>
      <c r="E2" s="19" t="s">
        <v>33</v>
      </c>
      <c r="F2" s="19" t="s">
        <v>34</v>
      </c>
      <c r="G2" s="19" t="s">
        <v>35</v>
      </c>
      <c r="H2" s="19" t="s">
        <v>36</v>
      </c>
      <c r="I2" s="11">
        <v>15</v>
      </c>
      <c r="J2" s="11">
        <v>25</v>
      </c>
      <c r="K2" s="11">
        <v>35</v>
      </c>
    </row>
    <row r="3" spans="1:12" x14ac:dyDescent="0.25">
      <c r="A3" s="20" t="s">
        <v>37</v>
      </c>
      <c r="B3" s="10">
        <f>1245940289.55429</f>
        <v>1245940289.5542901</v>
      </c>
      <c r="C3" s="10">
        <v>709041134.56359303</v>
      </c>
      <c r="D3" s="10">
        <v>1554821632.43875</v>
      </c>
      <c r="E3" s="10">
        <v>859477938.69055402</v>
      </c>
      <c r="F3" s="10">
        <v>1914075516.5467</v>
      </c>
      <c r="G3" s="10">
        <v>2198722925.68084</v>
      </c>
      <c r="H3" s="10">
        <v>6884844368.4756403</v>
      </c>
      <c r="I3" s="10">
        <v>14604843586.9513</v>
      </c>
      <c r="J3" s="10">
        <v>5503088684.9902296</v>
      </c>
      <c r="K3" s="10">
        <v>963505543.93647599</v>
      </c>
      <c r="L3">
        <f>SUM(B3:K3)</f>
        <v>36438361621.8284</v>
      </c>
    </row>
    <row r="4" spans="1:12" x14ac:dyDescent="0.25">
      <c r="A4" s="20" t="s">
        <v>38</v>
      </c>
      <c r="B4" s="10">
        <v>2438646974.8035402</v>
      </c>
      <c r="C4" s="10">
        <v>471110914.10396898</v>
      </c>
      <c r="D4" s="10">
        <v>313412034.84647799</v>
      </c>
      <c r="E4" s="10">
        <v>54327778.571360499</v>
      </c>
      <c r="F4" s="10">
        <v>64394181.8214918</v>
      </c>
      <c r="G4" s="10">
        <v>39544268.484211303</v>
      </c>
      <c r="H4" s="10">
        <v>57910186.1692333</v>
      </c>
      <c r="I4" s="10">
        <v>35118941.451544903</v>
      </c>
      <c r="J4" s="10">
        <v>1077964.27718797</v>
      </c>
      <c r="K4" s="10">
        <v>0</v>
      </c>
      <c r="L4">
        <f t="shared" ref="L4:L16" si="0">SUM(B4:K4)</f>
        <v>3475543244.5290198</v>
      </c>
    </row>
    <row r="5" spans="1:12" x14ac:dyDescent="0.25">
      <c r="A5" s="20" t="s">
        <v>39</v>
      </c>
      <c r="B5" s="10">
        <v>2622208891.7189698</v>
      </c>
      <c r="C5" s="10">
        <v>1234212362.4182701</v>
      </c>
      <c r="D5" s="10">
        <v>1997054450.9064701</v>
      </c>
      <c r="E5" s="10">
        <v>840982341.09248698</v>
      </c>
      <c r="F5" s="10">
        <v>1464791352.8071401</v>
      </c>
      <c r="G5" s="10">
        <v>1284317438.82109</v>
      </c>
      <c r="H5" s="10">
        <v>2830523462.0369101</v>
      </c>
      <c r="I5" s="10">
        <v>3616537729.98737</v>
      </c>
      <c r="J5" s="10">
        <v>1250430456.5434799</v>
      </c>
      <c r="K5" s="10">
        <v>277125974.177526</v>
      </c>
      <c r="L5">
        <f t="shared" si="0"/>
        <v>17418184460.509701</v>
      </c>
    </row>
    <row r="6" spans="1:12" x14ac:dyDescent="0.25">
      <c r="A6" s="20" t="s">
        <v>40</v>
      </c>
      <c r="B6" s="10">
        <v>1035883145.40481</v>
      </c>
      <c r="C6" s="10">
        <v>542507811.2299</v>
      </c>
      <c r="D6" s="10">
        <v>792984563.27664399</v>
      </c>
      <c r="E6" s="10">
        <v>294130252.77557403</v>
      </c>
      <c r="F6" s="10">
        <v>480180403.02256501</v>
      </c>
      <c r="G6" s="10">
        <v>401480905.79327798</v>
      </c>
      <c r="H6" s="10">
        <v>866926428.69608605</v>
      </c>
      <c r="I6" s="10">
        <v>1172006529.12941</v>
      </c>
      <c r="J6" s="10">
        <v>375155883.44510901</v>
      </c>
      <c r="K6" s="10">
        <v>54830288.234410599</v>
      </c>
      <c r="L6">
        <f t="shared" si="0"/>
        <v>6016086211.0077896</v>
      </c>
    </row>
    <row r="7" spans="1:12" x14ac:dyDescent="0.25">
      <c r="A7" s="20" t="s">
        <v>41</v>
      </c>
      <c r="B7" s="10">
        <v>4205730309.9135299</v>
      </c>
      <c r="C7" s="10">
        <v>916504680.45216703</v>
      </c>
      <c r="D7" s="10">
        <v>1116082066.62868</v>
      </c>
      <c r="E7" s="10">
        <v>426655018.91317201</v>
      </c>
      <c r="F7" s="10">
        <v>724092109.471398</v>
      </c>
      <c r="G7" s="10">
        <v>586947496.431566</v>
      </c>
      <c r="H7" s="10">
        <v>1106882897.79704</v>
      </c>
      <c r="I7" s="10">
        <v>1167686567.0260899</v>
      </c>
      <c r="J7" s="10">
        <v>318988271.10742003</v>
      </c>
      <c r="K7" s="10">
        <v>42227021.6853332</v>
      </c>
      <c r="L7">
        <f t="shared" si="0"/>
        <v>10611796439.426399</v>
      </c>
    </row>
    <row r="8" spans="1:12" x14ac:dyDescent="0.25">
      <c r="A8" s="20" t="s">
        <v>42</v>
      </c>
      <c r="B8" s="10">
        <v>3605125897.6394</v>
      </c>
      <c r="C8" s="10">
        <v>1178385159.85232</v>
      </c>
      <c r="D8" s="10">
        <v>1677425885.22839</v>
      </c>
      <c r="E8" s="10">
        <v>720979791.55831397</v>
      </c>
      <c r="F8" s="10">
        <v>1429737251.31212</v>
      </c>
      <c r="G8" s="10">
        <v>1474128306.5463901</v>
      </c>
      <c r="H8" s="10">
        <v>4134357727.7712998</v>
      </c>
      <c r="I8" s="10">
        <v>8656717755.3737392</v>
      </c>
      <c r="J8" s="10">
        <v>4246498432.5771098</v>
      </c>
      <c r="K8" s="10">
        <v>530966298.96888</v>
      </c>
      <c r="L8">
        <f t="shared" si="0"/>
        <v>27654322506.827999</v>
      </c>
    </row>
    <row r="9" spans="1:12" x14ac:dyDescent="0.25">
      <c r="A9" s="20" t="s">
        <v>43</v>
      </c>
      <c r="B9" s="10">
        <v>2165241193.1314902</v>
      </c>
      <c r="C9" s="10">
        <v>1152149292.44437</v>
      </c>
      <c r="D9" s="10">
        <v>2178022769.5610099</v>
      </c>
      <c r="E9" s="10">
        <v>1041969996.32337</v>
      </c>
      <c r="F9" s="10">
        <v>2052119783.9832799</v>
      </c>
      <c r="G9" s="10">
        <v>2057720335.2279201</v>
      </c>
      <c r="H9" s="10">
        <v>5451281559.7286901</v>
      </c>
      <c r="I9" s="10">
        <v>10348975780.6567</v>
      </c>
      <c r="J9" s="10">
        <v>5357547297.5807199</v>
      </c>
      <c r="K9" s="10">
        <v>1756814306.9957299</v>
      </c>
      <c r="L9">
        <f t="shared" si="0"/>
        <v>33561842315.633301</v>
      </c>
    </row>
    <row r="10" spans="1:12" x14ac:dyDescent="0.25">
      <c r="A10" s="20" t="s">
        <v>44</v>
      </c>
      <c r="B10" s="10">
        <v>1531617032.99823</v>
      </c>
      <c r="C10" s="10">
        <v>535886030.67003101</v>
      </c>
      <c r="D10" s="10">
        <v>802126997.14632797</v>
      </c>
      <c r="E10" s="10">
        <v>369749852.07003802</v>
      </c>
      <c r="F10" s="10">
        <v>760135020.30338895</v>
      </c>
      <c r="G10" s="10">
        <v>815856857.93998599</v>
      </c>
      <c r="H10" s="10">
        <v>2245683264.1923199</v>
      </c>
      <c r="I10" s="10">
        <v>3570306840.9867702</v>
      </c>
      <c r="J10" s="10">
        <v>1039400713.04616</v>
      </c>
      <c r="K10" s="10">
        <v>83068089.299996093</v>
      </c>
      <c r="L10">
        <f t="shared" si="0"/>
        <v>11753830698.6532</v>
      </c>
    </row>
    <row r="11" spans="1:12" x14ac:dyDescent="0.25">
      <c r="A11" s="20" t="s">
        <v>45</v>
      </c>
      <c r="B11" s="10">
        <v>3156846753.2259402</v>
      </c>
      <c r="C11" s="10">
        <v>901113295.77261901</v>
      </c>
      <c r="D11" s="10">
        <v>1261745028.95667</v>
      </c>
      <c r="E11" s="10">
        <v>508272314.18597502</v>
      </c>
      <c r="F11" s="10">
        <v>898657482.41932595</v>
      </c>
      <c r="G11" s="10">
        <v>800546523.20608997</v>
      </c>
      <c r="H11" s="10">
        <v>1781745270.2786701</v>
      </c>
      <c r="I11" s="10">
        <v>2690679885.8068199</v>
      </c>
      <c r="J11" s="10">
        <v>1165198333.69454</v>
      </c>
      <c r="K11" s="10">
        <v>218996953.155029</v>
      </c>
      <c r="L11">
        <f t="shared" si="0"/>
        <v>13383801840.7017</v>
      </c>
    </row>
    <row r="12" spans="1:12" x14ac:dyDescent="0.25">
      <c r="A12" s="20" t="s">
        <v>46</v>
      </c>
      <c r="B12" s="10">
        <v>2532770276.69063</v>
      </c>
      <c r="C12" s="10">
        <v>905344102.93571806</v>
      </c>
      <c r="D12" s="10">
        <v>1535353435.4928501</v>
      </c>
      <c r="E12" s="10">
        <v>726288562.99860001</v>
      </c>
      <c r="F12" s="10">
        <v>1426511463.4751201</v>
      </c>
      <c r="G12" s="10">
        <v>1411833318.3173201</v>
      </c>
      <c r="H12" s="10">
        <v>3494962811.5075302</v>
      </c>
      <c r="I12" s="10">
        <v>4957517185.81464</v>
      </c>
      <c r="J12" s="10">
        <v>1441351708.52423</v>
      </c>
      <c r="K12" s="10">
        <v>179671519.52408201</v>
      </c>
      <c r="L12">
        <f t="shared" si="0"/>
        <v>18611604385.280701</v>
      </c>
    </row>
    <row r="13" spans="1:12" x14ac:dyDescent="0.25">
      <c r="A13" s="20" t="s">
        <v>47</v>
      </c>
      <c r="B13" s="10">
        <v>6690446073.8263702</v>
      </c>
      <c r="C13" s="10">
        <v>2355384365.6339698</v>
      </c>
      <c r="D13" s="10">
        <v>3006977298.7185502</v>
      </c>
      <c r="E13" s="10">
        <v>1042464400.99185</v>
      </c>
      <c r="F13" s="10">
        <v>1641755804.14641</v>
      </c>
      <c r="G13" s="10">
        <v>1297463740.0060501</v>
      </c>
      <c r="H13" s="10">
        <v>2399905100.7812901</v>
      </c>
      <c r="I13" s="10">
        <v>2546905387.2125602</v>
      </c>
      <c r="J13" s="10">
        <v>919625103.35981703</v>
      </c>
      <c r="K13" s="10">
        <v>219718297.671343</v>
      </c>
      <c r="L13">
        <f t="shared" si="0"/>
        <v>22120645572.348202</v>
      </c>
    </row>
    <row r="14" spans="1:12" x14ac:dyDescent="0.25">
      <c r="A14" s="20" t="s">
        <v>48</v>
      </c>
      <c r="B14" s="10">
        <v>2952681940.1254601</v>
      </c>
      <c r="C14" s="10">
        <v>1458591031.9646699</v>
      </c>
      <c r="D14" s="10">
        <v>1947135789.37865</v>
      </c>
      <c r="E14" s="10">
        <v>622463582.61681199</v>
      </c>
      <c r="F14" s="10">
        <v>882666328.14194405</v>
      </c>
      <c r="G14" s="10">
        <v>628607168.49732697</v>
      </c>
      <c r="H14" s="10">
        <v>1077875122.24775</v>
      </c>
      <c r="I14" s="10">
        <v>1030979623.69279</v>
      </c>
      <c r="J14" s="10">
        <v>129923062.882129</v>
      </c>
      <c r="K14" s="10">
        <v>3760717.4783099</v>
      </c>
      <c r="L14">
        <f t="shared" si="0"/>
        <v>10734684367.025801</v>
      </c>
    </row>
    <row r="15" spans="1:12" x14ac:dyDescent="0.25">
      <c r="A15" s="20" t="s">
        <v>49</v>
      </c>
      <c r="B15" s="10">
        <v>958569602.24619401</v>
      </c>
      <c r="C15" s="10">
        <v>617592480.88305295</v>
      </c>
      <c r="D15" s="10">
        <v>1319590375.1693799</v>
      </c>
      <c r="E15" s="10">
        <v>683251041.85673499</v>
      </c>
      <c r="F15" s="10">
        <v>1395971843.95298</v>
      </c>
      <c r="G15" s="10">
        <v>1379615964.9201601</v>
      </c>
      <c r="H15" s="10">
        <v>3040280721.3874698</v>
      </c>
      <c r="I15" s="10">
        <v>2786294506.6939402</v>
      </c>
      <c r="J15" s="10">
        <v>356595445.89051902</v>
      </c>
      <c r="K15" s="10">
        <v>16461243.962171201</v>
      </c>
      <c r="L15">
        <f t="shared" si="0"/>
        <v>12554223226.962601</v>
      </c>
    </row>
    <row r="16" spans="1:12" x14ac:dyDescent="0.25">
      <c r="A16" s="20" t="s">
        <v>50</v>
      </c>
      <c r="B16" s="10">
        <v>2776382098.3405499</v>
      </c>
      <c r="C16" s="10">
        <v>1257676321.68488</v>
      </c>
      <c r="D16" s="10">
        <v>1820041369.5998199</v>
      </c>
      <c r="E16" s="10">
        <v>693747009.81882799</v>
      </c>
      <c r="F16" s="10">
        <v>1170612470.0641799</v>
      </c>
      <c r="G16" s="10">
        <v>983087210.80629599</v>
      </c>
      <c r="H16" s="10">
        <v>1906651341.5248599</v>
      </c>
      <c r="I16" s="10">
        <v>1903936168.34548</v>
      </c>
      <c r="J16" s="10">
        <v>308419358.19423902</v>
      </c>
      <c r="K16" s="10">
        <v>16412613.994779199</v>
      </c>
      <c r="L16">
        <f t="shared" si="0"/>
        <v>12836965962.373899</v>
      </c>
    </row>
    <row r="20" spans="1:12" x14ac:dyDescent="0.25">
      <c r="A20" t="s">
        <v>102</v>
      </c>
      <c r="B20">
        <f>(0.0005)/(0.0005+2+3+5+6+8+10+15+25+35)</f>
        <v>4.58713492139944E-6</v>
      </c>
      <c r="C20">
        <f>(2)/(0.0005+2+3+5+6+8+10+15+25+35)</f>
        <v>1.8348539685597801E-2</v>
      </c>
      <c r="D20">
        <f>(3)/(0.0005+2+3+5+6+8+10+15+25+35)</f>
        <v>2.75228095283967E-2</v>
      </c>
      <c r="E20">
        <f>(5)/(0.0005+2+3+5+6+8+10+15+25+35)</f>
        <v>4.5871349213994397E-2</v>
      </c>
      <c r="F20">
        <f>(6)/(0.0005+2+3+5+6+8+10+15+25+35)</f>
        <v>5.5045619056793303E-2</v>
      </c>
      <c r="G20">
        <f>8/(0.0005+2+3+5+6+8+10+15+25+35)</f>
        <v>7.3394158742391094E-2</v>
      </c>
      <c r="H20">
        <f>10/(0.0005+2+3+5+6+8+10+15+25+35)</f>
        <v>9.1742698427988906E-2</v>
      </c>
      <c r="I20">
        <f>15/(0.0005+2+3+5+6+8+10+15+25+35)</f>
        <v>0.13761404764198301</v>
      </c>
      <c r="J20">
        <f>25/(0.0005+2+3+5+6+8+10+15+25+35)</f>
        <v>0.229356746069972</v>
      </c>
      <c r="K20">
        <f>(35)/(0.0005+2+3+5+6+8+10+15+25+35)</f>
        <v>0.32109944449796102</v>
      </c>
    </row>
    <row r="21" spans="1:12" x14ac:dyDescent="0.25">
      <c r="A21" t="s">
        <v>103</v>
      </c>
    </row>
    <row r="22" spans="1:12" x14ac:dyDescent="0.25">
      <c r="A22" s="9" t="s">
        <v>30</v>
      </c>
      <c r="B22" s="11">
        <v>0</v>
      </c>
      <c r="C22" s="19" t="s">
        <v>31</v>
      </c>
      <c r="D22" s="19" t="s">
        <v>32</v>
      </c>
      <c r="E22" s="19" t="s">
        <v>33</v>
      </c>
      <c r="F22" s="19" t="s">
        <v>34</v>
      </c>
      <c r="G22" s="19" t="s">
        <v>35</v>
      </c>
      <c r="H22" s="19" t="s">
        <v>36</v>
      </c>
      <c r="I22" s="11">
        <v>15</v>
      </c>
      <c r="J22" s="11">
        <v>25</v>
      </c>
      <c r="K22" s="11">
        <v>35</v>
      </c>
      <c r="L22" t="s">
        <v>9</v>
      </c>
    </row>
    <row r="23" spans="1:12" x14ac:dyDescent="0.25">
      <c r="A23" s="20" t="s">
        <v>37</v>
      </c>
      <c r="B23" s="10">
        <f>1245940289.55429</f>
        <v>1245940289.5542901</v>
      </c>
      <c r="C23" s="10">
        <v>709041134.56359303</v>
      </c>
      <c r="D23" s="10">
        <v>1554821632.43875</v>
      </c>
      <c r="E23" s="10">
        <v>859477938.69055402</v>
      </c>
      <c r="F23" s="10">
        <v>1914075516.5467</v>
      </c>
      <c r="G23" s="10">
        <v>2198722925.68084</v>
      </c>
      <c r="H23" s="10">
        <v>6884844368.4756403</v>
      </c>
      <c r="I23" s="10">
        <v>14604843586.9513</v>
      </c>
      <c r="J23" s="10">
        <v>5503088684.9902296</v>
      </c>
      <c r="K23" s="10">
        <v>963505543.93647599</v>
      </c>
      <c r="L23">
        <f>(B23*$B$20+C23*$C$20+D23*$D$20+E23*$E$20+F23*$F$20+G23*$G$20+H23*$H$20+I23*$I$20+J23*$J$20+K23*$K$20)/SUM(B23:K23)</f>
        <v>0.12555411921371501</v>
      </c>
    </row>
    <row r="24" spans="1:12" x14ac:dyDescent="0.25">
      <c r="A24" s="20" t="s">
        <v>38</v>
      </c>
      <c r="B24" s="10">
        <v>2438646974.8035402</v>
      </c>
      <c r="C24" s="10">
        <v>471110914.10396898</v>
      </c>
      <c r="D24" s="10">
        <v>313412034.84647799</v>
      </c>
      <c r="E24" s="10">
        <v>54327778.571360499</v>
      </c>
      <c r="F24" s="10">
        <v>64394181.8214918</v>
      </c>
      <c r="G24" s="10">
        <v>39544268.484211303</v>
      </c>
      <c r="H24" s="10">
        <v>57910186.1692333</v>
      </c>
      <c r="I24" s="10">
        <v>35118941.451544903</v>
      </c>
      <c r="J24" s="10">
        <v>1077964.27718797</v>
      </c>
      <c r="K24" s="10">
        <v>0</v>
      </c>
      <c r="L24">
        <f t="shared" ref="L24:L36" si="1">(B24*$B$20+C24*$C$20+D24*$D$20+E24*$E$20+F24*$F$20+G24*$G$20+H24*$H$20+I24*$I$20+J24*$J$20+K24*$K$20)/SUM(B24:K24)</f>
        <v>1.0534561102964701E-2</v>
      </c>
    </row>
    <row r="25" spans="1:12" x14ac:dyDescent="0.25">
      <c r="A25" s="20" t="s">
        <v>39</v>
      </c>
      <c r="B25" s="10">
        <v>2622208891.7189698</v>
      </c>
      <c r="C25" s="10">
        <v>1234212362.4182701</v>
      </c>
      <c r="D25" s="10">
        <v>1997054450.9064701</v>
      </c>
      <c r="E25" s="10">
        <v>840982341.09248698</v>
      </c>
      <c r="F25" s="10">
        <v>1464791352.8071401</v>
      </c>
      <c r="G25" s="10">
        <v>1284317438.82109</v>
      </c>
      <c r="H25" s="10">
        <v>2830523462.0369101</v>
      </c>
      <c r="I25" s="10">
        <v>3616537729.98737</v>
      </c>
      <c r="J25" s="10">
        <v>1250430456.5434799</v>
      </c>
      <c r="K25" s="10">
        <v>277125974.177526</v>
      </c>
      <c r="L25">
        <f t="shared" si="1"/>
        <v>8.1767260404303696E-2</v>
      </c>
    </row>
    <row r="26" spans="1:12" x14ac:dyDescent="0.25">
      <c r="A26" s="20" t="s">
        <v>40</v>
      </c>
      <c r="B26" s="10">
        <v>1035883145.40481</v>
      </c>
      <c r="C26" s="10">
        <v>542507811.2299</v>
      </c>
      <c r="D26" s="10">
        <v>792984563.27664399</v>
      </c>
      <c r="E26" s="10">
        <v>294130252.77557403</v>
      </c>
      <c r="F26" s="10">
        <v>480180403.02256501</v>
      </c>
      <c r="G26" s="10">
        <v>401480905.79327798</v>
      </c>
      <c r="H26" s="10">
        <v>866926428.69608605</v>
      </c>
      <c r="I26" s="10">
        <v>1172006529.12941</v>
      </c>
      <c r="J26" s="10">
        <v>375155883.44510901</v>
      </c>
      <c r="K26" s="10">
        <v>54830288.234410599</v>
      </c>
      <c r="L26">
        <f t="shared" si="1"/>
        <v>7.4075353602187394E-2</v>
      </c>
    </row>
    <row r="27" spans="1:12" x14ac:dyDescent="0.25">
      <c r="A27" s="20" t="s">
        <v>41</v>
      </c>
      <c r="B27" s="10">
        <v>4205730309.9135299</v>
      </c>
      <c r="C27" s="10">
        <v>916504680.45216703</v>
      </c>
      <c r="D27" s="10">
        <v>1116082066.62868</v>
      </c>
      <c r="E27" s="10">
        <v>426655018.91317201</v>
      </c>
      <c r="F27" s="10">
        <v>724092109.471398</v>
      </c>
      <c r="G27" s="10">
        <v>586947496.431566</v>
      </c>
      <c r="H27" s="10">
        <v>1106882897.79704</v>
      </c>
      <c r="I27" s="10">
        <v>1167686567.0260899</v>
      </c>
      <c r="J27" s="10">
        <v>318988271.10742003</v>
      </c>
      <c r="K27" s="10">
        <v>42227021.6853332</v>
      </c>
      <c r="L27">
        <f t="shared" si="1"/>
        <v>4.7025126528578903E-2</v>
      </c>
    </row>
    <row r="28" spans="1:12" x14ac:dyDescent="0.25">
      <c r="A28" s="20" t="s">
        <v>42</v>
      </c>
      <c r="B28" s="10">
        <v>3605125897.6394</v>
      </c>
      <c r="C28" s="10">
        <v>1178385159.85232</v>
      </c>
      <c r="D28" s="10">
        <v>1677425885.22839</v>
      </c>
      <c r="E28" s="10">
        <v>720979791.55831397</v>
      </c>
      <c r="F28" s="10">
        <v>1429737251.31212</v>
      </c>
      <c r="G28" s="10">
        <v>1474128306.5463901</v>
      </c>
      <c r="H28" s="10">
        <v>4134357727.7712998</v>
      </c>
      <c r="I28" s="10">
        <v>8656717755.3737392</v>
      </c>
      <c r="J28" s="10">
        <v>4246498432.5771098</v>
      </c>
      <c r="K28" s="10">
        <v>530966298.96888</v>
      </c>
      <c r="L28">
        <f t="shared" si="1"/>
        <v>0.108583759426433</v>
      </c>
    </row>
    <row r="29" spans="1:12" x14ac:dyDescent="0.25">
      <c r="A29" s="20" t="s">
        <v>43</v>
      </c>
      <c r="B29" s="10">
        <v>2165241193.1314902</v>
      </c>
      <c r="C29" s="10">
        <v>1152149292.44437</v>
      </c>
      <c r="D29" s="10">
        <v>2178022769.5610099</v>
      </c>
      <c r="E29" s="10">
        <v>1041969996.32337</v>
      </c>
      <c r="F29" s="10">
        <v>2052119783.9832799</v>
      </c>
      <c r="G29" s="10">
        <v>2057720335.2279201</v>
      </c>
      <c r="H29" s="10">
        <v>5451281559.7286901</v>
      </c>
      <c r="I29" s="10">
        <v>10348975780.6567</v>
      </c>
      <c r="J29" s="10">
        <v>5357547297.5807199</v>
      </c>
      <c r="K29" s="10">
        <v>1756814306.9957299</v>
      </c>
      <c r="L29">
        <f t="shared" si="1"/>
        <v>0.12246223917922799</v>
      </c>
    </row>
    <row r="30" spans="1:12" x14ac:dyDescent="0.25">
      <c r="A30" s="20" t="s">
        <v>44</v>
      </c>
      <c r="B30" s="10">
        <v>1531617032.99823</v>
      </c>
      <c r="C30" s="10">
        <v>535886030.67003101</v>
      </c>
      <c r="D30" s="10">
        <v>802126997.14632797</v>
      </c>
      <c r="E30" s="10">
        <v>369749852.07003802</v>
      </c>
      <c r="F30" s="10">
        <v>760135020.30338895</v>
      </c>
      <c r="G30" s="10">
        <v>815856857.93998599</v>
      </c>
      <c r="H30" s="10">
        <v>2245683264.1923199</v>
      </c>
      <c r="I30" s="10">
        <v>3570306840.9867702</v>
      </c>
      <c r="J30" s="10">
        <v>1039400713.04616</v>
      </c>
      <c r="K30" s="10">
        <v>83068089.299996093</v>
      </c>
      <c r="L30">
        <f t="shared" si="1"/>
        <v>9.4693791746625205E-2</v>
      </c>
    </row>
    <row r="31" spans="1:12" x14ac:dyDescent="0.25">
      <c r="A31" s="20" t="s">
        <v>45</v>
      </c>
      <c r="B31" s="10">
        <v>3156846753.2259402</v>
      </c>
      <c r="C31" s="10">
        <v>901113295.77261901</v>
      </c>
      <c r="D31" s="10">
        <v>1261745028.95667</v>
      </c>
      <c r="E31" s="10">
        <v>508272314.18597502</v>
      </c>
      <c r="F31" s="10">
        <v>898657482.41932595</v>
      </c>
      <c r="G31" s="10">
        <v>800546523.20608997</v>
      </c>
      <c r="H31" s="10">
        <v>1781745270.2786701</v>
      </c>
      <c r="I31" s="10">
        <v>2690679885.8068199</v>
      </c>
      <c r="J31" s="10">
        <v>1165198333.69454</v>
      </c>
      <c r="K31" s="10">
        <v>218996953.155029</v>
      </c>
      <c r="L31">
        <f t="shared" si="1"/>
        <v>7.8760614869791898E-2</v>
      </c>
    </row>
    <row r="32" spans="1:12" x14ac:dyDescent="0.25">
      <c r="A32" s="20" t="s">
        <v>46</v>
      </c>
      <c r="B32" s="10">
        <v>2532770276.69063</v>
      </c>
      <c r="C32" s="10">
        <v>905344102.93571806</v>
      </c>
      <c r="D32" s="10">
        <v>1535353435.4928501</v>
      </c>
      <c r="E32" s="10">
        <v>726288562.99860001</v>
      </c>
      <c r="F32" s="10">
        <v>1426511463.4751201</v>
      </c>
      <c r="G32" s="10">
        <v>1411833318.3173201</v>
      </c>
      <c r="H32" s="10">
        <v>3494962811.5075302</v>
      </c>
      <c r="I32" s="10">
        <v>4957517185.81464</v>
      </c>
      <c r="J32" s="10">
        <v>1441351708.52423</v>
      </c>
      <c r="K32" s="10">
        <v>179671519.52408201</v>
      </c>
      <c r="L32">
        <f t="shared" si="1"/>
        <v>8.9485968860098103E-2</v>
      </c>
    </row>
    <row r="33" spans="1:12" x14ac:dyDescent="0.25">
      <c r="A33" s="20" t="s">
        <v>47</v>
      </c>
      <c r="B33" s="10">
        <v>6690446073.8263702</v>
      </c>
      <c r="C33" s="10">
        <v>2355384365.6339698</v>
      </c>
      <c r="D33" s="10">
        <v>3006977298.7185502</v>
      </c>
      <c r="E33" s="10">
        <v>1042464400.99185</v>
      </c>
      <c r="F33" s="10">
        <v>1641755804.14641</v>
      </c>
      <c r="G33" s="10">
        <v>1297463740.0060501</v>
      </c>
      <c r="H33" s="10">
        <v>2399905100.7812901</v>
      </c>
      <c r="I33" s="10">
        <v>2546905387.2125602</v>
      </c>
      <c r="J33" s="10">
        <v>919625103.35981703</v>
      </c>
      <c r="K33" s="10">
        <v>219718297.671343</v>
      </c>
      <c r="L33">
        <f t="shared" si="1"/>
        <v>5.4770705478784203E-2</v>
      </c>
    </row>
    <row r="34" spans="1:12" x14ac:dyDescent="0.25">
      <c r="A34" s="20" t="s">
        <v>48</v>
      </c>
      <c r="B34" s="10">
        <v>2952681940.1254601</v>
      </c>
      <c r="C34" s="10">
        <v>1458591031.9646699</v>
      </c>
      <c r="D34" s="10">
        <v>1947135789.37865</v>
      </c>
      <c r="E34" s="10">
        <v>622463582.61681199</v>
      </c>
      <c r="F34" s="10">
        <v>882666328.14194405</v>
      </c>
      <c r="G34" s="10">
        <v>628607168.49732697</v>
      </c>
      <c r="H34" s="10">
        <v>1077875122.24775</v>
      </c>
      <c r="I34" s="10">
        <v>1030979623.69279</v>
      </c>
      <c r="J34" s="10">
        <v>129923062.882129</v>
      </c>
      <c r="K34" s="10">
        <v>3760717.4783099</v>
      </c>
      <c r="L34">
        <f t="shared" si="1"/>
        <v>4.4287674485332697E-2</v>
      </c>
    </row>
    <row r="35" spans="1:12" x14ac:dyDescent="0.25">
      <c r="A35" s="20" t="s">
        <v>49</v>
      </c>
      <c r="B35" s="10">
        <v>958569602.24619401</v>
      </c>
      <c r="C35" s="10">
        <v>617592480.88305295</v>
      </c>
      <c r="D35" s="10">
        <v>1319590375.1693799</v>
      </c>
      <c r="E35" s="10">
        <v>683251041.85673499</v>
      </c>
      <c r="F35" s="10">
        <v>1395971843.95298</v>
      </c>
      <c r="G35" s="10">
        <v>1379615964.9201601</v>
      </c>
      <c r="H35" s="10">
        <v>3040280721.3874698</v>
      </c>
      <c r="I35" s="10">
        <v>2786294506.6939402</v>
      </c>
      <c r="J35" s="10">
        <v>356595445.89051902</v>
      </c>
      <c r="K35" s="10">
        <v>16461243.962171201</v>
      </c>
      <c r="L35">
        <f t="shared" si="1"/>
        <v>8.0174197795522401E-2</v>
      </c>
    </row>
    <row r="36" spans="1:12" x14ac:dyDescent="0.25">
      <c r="A36" s="20" t="s">
        <v>50</v>
      </c>
      <c r="B36" s="10">
        <v>2776382098.3405499</v>
      </c>
      <c r="C36" s="10">
        <v>1257676321.68488</v>
      </c>
      <c r="D36" s="10">
        <v>1820041369.5998199</v>
      </c>
      <c r="E36" s="10">
        <v>693747009.81882799</v>
      </c>
      <c r="F36" s="10">
        <v>1170612470.0641799</v>
      </c>
      <c r="G36" s="10">
        <v>983087210.80629599</v>
      </c>
      <c r="H36" s="10">
        <v>1906651341.5248599</v>
      </c>
      <c r="I36" s="10">
        <v>1903936168.34548</v>
      </c>
      <c r="J36" s="10">
        <v>308419358.19423902</v>
      </c>
      <c r="K36" s="10">
        <v>16412613.994779199</v>
      </c>
      <c r="L36">
        <f t="shared" si="1"/>
        <v>5.8778126795642198E-2</v>
      </c>
    </row>
    <row r="37" spans="1:12" x14ac:dyDescent="0.25">
      <c r="A37" s="2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2" x14ac:dyDescent="0.25">
      <c r="A38" s="2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2" x14ac:dyDescent="0.25">
      <c r="A39" s="20"/>
      <c r="B39" s="10"/>
      <c r="C39" s="10"/>
      <c r="D39" s="10"/>
      <c r="E39" s="10"/>
      <c r="F39" s="10"/>
      <c r="G39" s="10"/>
      <c r="H39" s="10"/>
      <c r="I39" s="10"/>
      <c r="J39" s="10"/>
      <c r="K39" s="10"/>
    </row>
  </sheetData>
  <mergeCells count="1">
    <mergeCell ref="A1:K1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5"/>
  <sheetViews>
    <sheetView topLeftCell="A2" workbookViewId="0">
      <selection activeCell="B42" sqref="B42:B43"/>
    </sheetView>
  </sheetViews>
  <sheetFormatPr defaultColWidth="8.7265625" defaultRowHeight="14" x14ac:dyDescent="0.25"/>
  <cols>
    <col min="3" max="6" width="12.81640625"/>
    <col min="8" max="8" width="11.7265625"/>
    <col min="13" max="13" width="32.453125" customWidth="1"/>
  </cols>
  <sheetData>
    <row r="1" spans="1:27" x14ac:dyDescent="0.25">
      <c r="A1" s="8" t="s">
        <v>104</v>
      </c>
      <c r="B1" s="8" t="s">
        <v>105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8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s="14"/>
      <c r="O1" s="14"/>
      <c r="P1" s="14"/>
      <c r="Q1" s="9"/>
      <c r="R1" s="8"/>
      <c r="S1" s="8"/>
      <c r="T1" s="8"/>
      <c r="U1" s="8"/>
      <c r="V1" s="8"/>
      <c r="W1" s="8"/>
      <c r="X1" s="8"/>
      <c r="Y1" s="8"/>
      <c r="Z1" s="8"/>
      <c r="AA1" s="17"/>
    </row>
    <row r="2" spans="1:27" x14ac:dyDescent="0.25">
      <c r="A2" s="9">
        <v>1</v>
      </c>
      <c r="B2" s="9" t="s">
        <v>15</v>
      </c>
      <c r="C2" s="10">
        <v>5.7776262286214101E-3</v>
      </c>
      <c r="D2" s="11">
        <v>0.85981376803325604</v>
      </c>
      <c r="E2" s="11">
        <v>0.134330977574358</v>
      </c>
      <c r="F2" s="10">
        <v>7.7628163764730193E-5</v>
      </c>
      <c r="G2" s="13">
        <v>744.90175922323795</v>
      </c>
      <c r="H2" s="9">
        <v>0.12555411921371501</v>
      </c>
      <c r="I2" s="15">
        <v>57.3066499285774</v>
      </c>
      <c r="J2" s="15">
        <v>13.205400424167101</v>
      </c>
      <c r="K2" s="15">
        <v>21.571540907071501</v>
      </c>
      <c r="L2" s="15">
        <v>2.7541932458018099</v>
      </c>
      <c r="M2" s="15">
        <v>5.1622154943822203</v>
      </c>
      <c r="N2" s="10"/>
      <c r="O2" s="10"/>
      <c r="P2" s="10"/>
      <c r="Q2" s="13"/>
      <c r="R2" s="9"/>
      <c r="S2" s="9"/>
      <c r="T2" s="9"/>
      <c r="U2" s="9"/>
      <c r="V2" s="9"/>
      <c r="W2" s="9"/>
      <c r="X2" s="9"/>
      <c r="Y2" s="9"/>
      <c r="Z2" s="9"/>
      <c r="AA2" s="18"/>
    </row>
    <row r="3" spans="1:27" x14ac:dyDescent="0.25">
      <c r="A3" s="9">
        <v>2</v>
      </c>
      <c r="B3" s="9" t="s">
        <v>16</v>
      </c>
      <c r="C3" s="10">
        <v>0.67329501066893505</v>
      </c>
      <c r="D3" s="11">
        <v>5.6667793803854899E-3</v>
      </c>
      <c r="E3" s="11">
        <v>0.321038209950679</v>
      </c>
      <c r="F3" s="10">
        <v>0</v>
      </c>
      <c r="G3" s="13">
        <v>32.398820003964303</v>
      </c>
      <c r="H3" s="9">
        <v>1.0534561102964701E-2</v>
      </c>
      <c r="I3" s="15">
        <v>26.121173599891701</v>
      </c>
      <c r="J3" s="15">
        <v>2.1119131369553599</v>
      </c>
      <c r="K3" s="15">
        <v>10.268917634204399</v>
      </c>
      <c r="L3" s="15">
        <v>58.105621710550402</v>
      </c>
      <c r="M3" s="15">
        <v>3.39237391839817</v>
      </c>
      <c r="N3" s="10"/>
      <c r="O3" s="10"/>
      <c r="P3" s="10"/>
      <c r="Q3" s="13"/>
      <c r="R3" s="9"/>
      <c r="S3" s="9"/>
      <c r="T3" s="9"/>
      <c r="U3" s="9"/>
      <c r="V3" s="9"/>
      <c r="W3" s="9"/>
      <c r="X3" s="9"/>
      <c r="Y3" s="9"/>
      <c r="Z3" s="9"/>
      <c r="AA3" s="18"/>
    </row>
    <row r="4" spans="1:27" x14ac:dyDescent="0.25">
      <c r="A4" s="9">
        <v>3</v>
      </c>
      <c r="B4" s="9" t="s">
        <v>17</v>
      </c>
      <c r="C4" s="10">
        <v>2.2299433987198199E-2</v>
      </c>
      <c r="D4" s="11">
        <v>0.44649680698795902</v>
      </c>
      <c r="E4" s="11">
        <v>0.53087943238650404</v>
      </c>
      <c r="F4" s="10">
        <v>3.2432663833810801E-4</v>
      </c>
      <c r="G4" s="13">
        <v>323.18494575322899</v>
      </c>
      <c r="H4" s="9">
        <v>8.1767260404303696E-2</v>
      </c>
      <c r="I4" s="16">
        <v>69.790032622502906</v>
      </c>
      <c r="J4" s="16">
        <v>12.720615354754701</v>
      </c>
      <c r="K4" s="16">
        <v>11.4390624222347</v>
      </c>
      <c r="L4" s="16">
        <v>2.2177181035638398</v>
      </c>
      <c r="M4" s="16">
        <v>3.8325714969438902</v>
      </c>
      <c r="N4" s="10"/>
      <c r="O4" s="10"/>
      <c r="P4" s="10"/>
      <c r="Q4" s="13"/>
      <c r="R4" s="9"/>
      <c r="S4" s="9"/>
      <c r="T4" s="9"/>
      <c r="U4" s="9"/>
      <c r="V4" s="9"/>
      <c r="W4" s="9"/>
      <c r="X4" s="9"/>
      <c r="Y4" s="9"/>
      <c r="Z4" s="9"/>
      <c r="AA4" s="18"/>
    </row>
    <row r="5" spans="1:27" x14ac:dyDescent="0.25">
      <c r="A5" s="9">
        <v>4</v>
      </c>
      <c r="B5" s="9" t="s">
        <v>18</v>
      </c>
      <c r="C5" s="10">
        <v>7.0708867001046796E-2</v>
      </c>
      <c r="D5" s="11">
        <v>0.42653135184144902</v>
      </c>
      <c r="E5" s="11">
        <v>0.50121721370554295</v>
      </c>
      <c r="F5" s="10">
        <v>1.54256745196149E-3</v>
      </c>
      <c r="G5" s="13">
        <v>273.93128367209198</v>
      </c>
      <c r="H5" s="9">
        <v>7.4075353602187394E-2</v>
      </c>
      <c r="I5" s="15">
        <v>28.1429389997116</v>
      </c>
      <c r="J5" s="15">
        <v>14.855532237372501</v>
      </c>
      <c r="K5" s="15">
        <v>8.4787823001553697</v>
      </c>
      <c r="L5" s="15">
        <v>42.912344830973801</v>
      </c>
      <c r="M5" s="15">
        <v>5.6104016317868002</v>
      </c>
      <c r="N5" s="10"/>
      <c r="O5" s="10"/>
      <c r="P5" s="10"/>
      <c r="Q5" s="13"/>
      <c r="R5" s="9"/>
      <c r="S5" s="9"/>
      <c r="T5" s="9"/>
      <c r="U5" s="9"/>
      <c r="V5" s="9"/>
      <c r="W5" s="9"/>
      <c r="X5" s="9"/>
      <c r="Y5" s="9"/>
      <c r="Z5" s="9"/>
      <c r="AA5" s="18"/>
    </row>
    <row r="6" spans="1:27" x14ac:dyDescent="0.25">
      <c r="A6" s="9">
        <v>5</v>
      </c>
      <c r="B6" s="9" t="s">
        <v>19</v>
      </c>
      <c r="C6" s="10">
        <v>0.30873503293003601</v>
      </c>
      <c r="D6" s="11">
        <v>0.23877579544959901</v>
      </c>
      <c r="E6" s="11">
        <v>0.452489171620365</v>
      </c>
      <c r="F6" s="10">
        <v>0</v>
      </c>
      <c r="G6" s="13">
        <v>156.17446770809599</v>
      </c>
      <c r="H6" s="9">
        <v>4.7025126528578903E-2</v>
      </c>
      <c r="I6" s="15">
        <v>51.558438945713</v>
      </c>
      <c r="J6" s="15">
        <v>6.8902395343641203</v>
      </c>
      <c r="K6" s="15">
        <v>26.819763516414302</v>
      </c>
      <c r="L6" s="15">
        <v>8.8974052615030992</v>
      </c>
      <c r="M6" s="15">
        <v>5.8341527420055002</v>
      </c>
      <c r="N6" s="10"/>
      <c r="O6" s="10"/>
      <c r="P6" s="10"/>
      <c r="Q6" s="13"/>
      <c r="R6" s="9"/>
      <c r="S6" s="9"/>
      <c r="T6" s="9"/>
      <c r="U6" s="9"/>
      <c r="V6" s="9"/>
      <c r="W6" s="9"/>
      <c r="X6" s="9"/>
      <c r="Y6" s="9"/>
      <c r="Z6" s="9"/>
      <c r="AA6" s="18"/>
    </row>
    <row r="7" spans="1:27" x14ac:dyDescent="0.25">
      <c r="A7" s="9">
        <v>6</v>
      </c>
      <c r="B7" s="9" t="s">
        <v>20</v>
      </c>
      <c r="C7" s="10">
        <v>3.0558527085207801E-2</v>
      </c>
      <c r="D7" s="11">
        <v>0.71844426012819396</v>
      </c>
      <c r="E7" s="11">
        <v>0.247009240887336</v>
      </c>
      <c r="F7" s="10">
        <v>3.9879718992617197E-3</v>
      </c>
      <c r="G7" s="13">
        <v>530.23603389204595</v>
      </c>
      <c r="H7" s="9">
        <v>0.108583759426433</v>
      </c>
      <c r="I7" s="15">
        <v>75.5827815561248</v>
      </c>
      <c r="J7" s="15">
        <v>3.9268717213636699</v>
      </c>
      <c r="K7" s="15">
        <v>15.772131107318399</v>
      </c>
      <c r="L7" s="15">
        <v>1.51430133896995</v>
      </c>
      <c r="M7" s="15">
        <v>3.2039142762231898</v>
      </c>
      <c r="N7" s="10"/>
      <c r="O7" s="10"/>
      <c r="P7" s="10"/>
      <c r="Q7" s="13"/>
      <c r="R7" s="9"/>
      <c r="S7" s="9"/>
      <c r="T7" s="9"/>
      <c r="U7" s="9"/>
      <c r="V7" s="9"/>
      <c r="W7" s="9"/>
      <c r="X7" s="9"/>
      <c r="Y7" s="9"/>
      <c r="Z7" s="9"/>
      <c r="AA7" s="18"/>
    </row>
    <row r="8" spans="1:27" x14ac:dyDescent="0.25">
      <c r="A8" s="9">
        <v>7</v>
      </c>
      <c r="B8" s="9" t="s">
        <v>21</v>
      </c>
      <c r="C8" s="10">
        <v>3.0312368083723101E-3</v>
      </c>
      <c r="D8" s="11">
        <v>0.81449516576653702</v>
      </c>
      <c r="E8" s="11">
        <v>0.180628097768496</v>
      </c>
      <c r="F8" s="10">
        <v>1.84549965659506E-3</v>
      </c>
      <c r="G8" s="13">
        <v>545.44110025781902</v>
      </c>
      <c r="H8" s="9">
        <v>0.12246223917922799</v>
      </c>
      <c r="I8" s="15">
        <v>43.889000120345997</v>
      </c>
      <c r="J8" s="15">
        <v>11.0672409944649</v>
      </c>
      <c r="K8" s="15">
        <v>39.084678627121903</v>
      </c>
      <c r="L8" s="15">
        <v>2.1131909456189</v>
      </c>
      <c r="M8" s="15">
        <v>3.8458893124483802</v>
      </c>
      <c r="N8" s="10"/>
      <c r="O8" s="10"/>
      <c r="P8" s="10"/>
      <c r="Q8" s="13"/>
      <c r="R8" s="9"/>
      <c r="S8" s="9"/>
      <c r="T8" s="9"/>
      <c r="U8" s="9"/>
      <c r="V8" s="9"/>
      <c r="W8" s="9"/>
      <c r="X8" s="9"/>
      <c r="Y8" s="9"/>
      <c r="Z8" s="9"/>
      <c r="AA8" s="18"/>
    </row>
    <row r="9" spans="1:27" x14ac:dyDescent="0.25">
      <c r="A9" s="9">
        <v>8</v>
      </c>
      <c r="B9" s="9" t="s">
        <v>22</v>
      </c>
      <c r="C9" s="10">
        <v>2.9281559182344999E-2</v>
      </c>
      <c r="D9" s="11">
        <v>0.64836201451389996</v>
      </c>
      <c r="E9" s="11">
        <v>0.315437361570436</v>
      </c>
      <c r="F9" s="10">
        <v>6.9190647333187997E-3</v>
      </c>
      <c r="G9" s="13">
        <v>387.81837075815901</v>
      </c>
      <c r="H9" s="9">
        <v>9.4693791746625205E-2</v>
      </c>
      <c r="I9" s="15">
        <v>61.224474749128603</v>
      </c>
      <c r="J9" s="15">
        <v>8.6135268250928299</v>
      </c>
      <c r="K9" s="15">
        <v>19.140608921924901</v>
      </c>
      <c r="L9" s="15">
        <v>3.9676831757212399</v>
      </c>
      <c r="M9" s="15">
        <v>7.0537063281325203</v>
      </c>
      <c r="N9" s="10"/>
      <c r="O9" s="10"/>
      <c r="P9" s="10"/>
      <c r="Q9" s="13"/>
      <c r="R9" s="9"/>
      <c r="S9" s="9"/>
      <c r="T9" s="9"/>
      <c r="U9" s="9"/>
      <c r="V9" s="9"/>
      <c r="W9" s="9"/>
      <c r="X9" s="9"/>
      <c r="Y9" s="9"/>
      <c r="Z9" s="9"/>
      <c r="AA9" s="18"/>
    </row>
    <row r="10" spans="1:27" x14ac:dyDescent="0.25">
      <c r="A10" s="9">
        <v>9</v>
      </c>
      <c r="B10" s="9" t="s">
        <v>23</v>
      </c>
      <c r="C10" s="10">
        <v>7.7088820162017499E-2</v>
      </c>
      <c r="D10" s="11">
        <v>0.44091363002429002</v>
      </c>
      <c r="E10" s="11">
        <v>0.48195091997047201</v>
      </c>
      <c r="F10" s="10">
        <v>4.6629843220777799E-5</v>
      </c>
      <c r="G10" s="13">
        <v>297.71026274402698</v>
      </c>
      <c r="H10" s="9">
        <v>7.8760614869791898E-2</v>
      </c>
      <c r="I10" s="15">
        <v>61.588892102150901</v>
      </c>
      <c r="J10" s="15">
        <v>8.0541250351190996</v>
      </c>
      <c r="K10" s="15">
        <v>22.422098674713698</v>
      </c>
      <c r="L10" s="15">
        <v>2.4805574363257699</v>
      </c>
      <c r="M10" s="15">
        <v>5.45432675169058</v>
      </c>
      <c r="N10" s="10"/>
      <c r="O10" s="10"/>
      <c r="P10" s="10"/>
      <c r="Q10" s="13"/>
      <c r="R10" s="9"/>
      <c r="S10" s="9"/>
      <c r="T10" s="9"/>
      <c r="U10" s="9"/>
      <c r="V10" s="9"/>
      <c r="W10" s="9"/>
      <c r="X10" s="9"/>
      <c r="Y10" s="9"/>
      <c r="Z10" s="9"/>
      <c r="AA10" s="18"/>
    </row>
    <row r="11" spans="1:27" x14ac:dyDescent="0.25">
      <c r="A11" s="9">
        <v>10</v>
      </c>
      <c r="B11" s="9" t="s">
        <v>24</v>
      </c>
      <c r="C11" s="10">
        <v>2.52887999153425E-2</v>
      </c>
      <c r="D11" s="11">
        <v>0.55969765445738495</v>
      </c>
      <c r="E11" s="11">
        <v>0.41485764353552801</v>
      </c>
      <c r="F11" s="10">
        <v>1.5590209174446199E-4</v>
      </c>
      <c r="G11" s="13">
        <v>366.40279439257603</v>
      </c>
      <c r="H11" s="9">
        <v>8.9485968860098103E-2</v>
      </c>
      <c r="I11" s="15">
        <v>61.704536709825099</v>
      </c>
      <c r="J11" s="15">
        <v>10.0668735920401</v>
      </c>
      <c r="K11" s="15">
        <v>21.5367766762607</v>
      </c>
      <c r="L11" s="15">
        <v>2.21272391635185</v>
      </c>
      <c r="M11" s="15">
        <v>4.4790891055222799</v>
      </c>
      <c r="N11" s="10"/>
      <c r="O11" s="10"/>
      <c r="P11" s="10"/>
      <c r="Q11" s="13"/>
      <c r="R11" s="9"/>
      <c r="S11" s="9"/>
      <c r="T11" s="9"/>
      <c r="U11" s="9"/>
      <c r="V11" s="9"/>
      <c r="W11" s="9"/>
      <c r="X11" s="9"/>
      <c r="Y11" s="9"/>
      <c r="Z11" s="9"/>
      <c r="AA11" s="18"/>
    </row>
    <row r="12" spans="1:27" x14ac:dyDescent="0.25">
      <c r="A12" s="9">
        <v>11</v>
      </c>
      <c r="B12" s="9" t="s">
        <v>25</v>
      </c>
      <c r="C12" s="10">
        <v>0.152513445947456</v>
      </c>
      <c r="D12" s="11">
        <v>0.23814138699083701</v>
      </c>
      <c r="E12" s="11">
        <v>0.60929167272752605</v>
      </c>
      <c r="F12" s="10">
        <v>5.3494334180571297E-5</v>
      </c>
      <c r="G12" s="13">
        <v>214.93770658064599</v>
      </c>
      <c r="H12" s="9">
        <v>5.4770705478784203E-2</v>
      </c>
      <c r="I12" s="15">
        <v>64.336307039647394</v>
      </c>
      <c r="J12" s="15">
        <v>5.6979088553596204</v>
      </c>
      <c r="K12" s="15">
        <v>22.966491167871101</v>
      </c>
      <c r="L12" s="15">
        <v>4.0364666166743</v>
      </c>
      <c r="M12" s="15">
        <v>2.96282632044759</v>
      </c>
      <c r="N12" s="10"/>
      <c r="O12" s="10"/>
      <c r="P12" s="10"/>
      <c r="Q12" s="13"/>
      <c r="R12" s="9"/>
      <c r="S12" s="9"/>
      <c r="T12" s="9"/>
      <c r="U12" s="9"/>
      <c r="V12" s="9"/>
      <c r="W12" s="9"/>
      <c r="X12" s="9"/>
      <c r="Y12" s="9"/>
      <c r="Z12" s="9"/>
      <c r="AA12" s="18"/>
    </row>
    <row r="13" spans="1:27" x14ac:dyDescent="0.25">
      <c r="A13" s="9">
        <v>12</v>
      </c>
      <c r="B13" s="9" t="s">
        <v>26</v>
      </c>
      <c r="C13" s="10">
        <v>0.11311915183098201</v>
      </c>
      <c r="D13" s="11">
        <v>0.181529280389716</v>
      </c>
      <c r="E13" s="11">
        <v>0.70535156777930197</v>
      </c>
      <c r="F13" s="10">
        <v>0</v>
      </c>
      <c r="G13" s="13">
        <v>110.990895864179</v>
      </c>
      <c r="H13" s="9">
        <v>4.4287674485332697E-2</v>
      </c>
      <c r="I13" s="15">
        <v>52.697219057732902</v>
      </c>
      <c r="J13" s="15">
        <v>7.5611720206348698</v>
      </c>
      <c r="K13" s="15">
        <v>18.901630995928301</v>
      </c>
      <c r="L13" s="15">
        <v>15.957215564757901</v>
      </c>
      <c r="M13" s="15">
        <v>4.88276236094607</v>
      </c>
      <c r="N13" s="10"/>
      <c r="O13" s="10"/>
      <c r="P13" s="10"/>
      <c r="Q13" s="13"/>
      <c r="R13" s="9"/>
      <c r="S13" s="9"/>
      <c r="T13" s="9"/>
      <c r="U13" s="9"/>
      <c r="V13" s="9"/>
      <c r="W13" s="9"/>
      <c r="X13" s="9"/>
      <c r="Y13" s="9"/>
      <c r="Z13" s="9"/>
      <c r="AA13" s="18"/>
    </row>
    <row r="14" spans="1:27" x14ac:dyDescent="0.25">
      <c r="A14" s="9">
        <v>13</v>
      </c>
      <c r="B14" s="9" t="s">
        <v>27</v>
      </c>
      <c r="C14" s="10">
        <v>5.8743057389236096E-3</v>
      </c>
      <c r="D14" s="11">
        <v>0.43723389214234998</v>
      </c>
      <c r="E14" s="11">
        <v>0.55674073194146501</v>
      </c>
      <c r="F14" s="10">
        <v>1.51070177262131E-4</v>
      </c>
      <c r="G14" s="13">
        <v>234.51688854829999</v>
      </c>
      <c r="H14" s="9">
        <v>8.0174197795522401E-2</v>
      </c>
      <c r="I14" s="15">
        <v>56.397346209614398</v>
      </c>
      <c r="J14" s="15">
        <v>16.520188095508601</v>
      </c>
      <c r="K14" s="15">
        <v>19.0040691648713</v>
      </c>
      <c r="L14" s="15">
        <v>3.9195755647513302</v>
      </c>
      <c r="M14" s="15">
        <v>4.1588209652544004</v>
      </c>
      <c r="N14" s="10"/>
      <c r="O14" s="10"/>
      <c r="P14" s="10"/>
      <c r="Q14" s="13"/>
      <c r="R14" s="9"/>
      <c r="S14" s="9"/>
      <c r="T14" s="9"/>
      <c r="U14" s="9"/>
      <c r="V14" s="9"/>
      <c r="W14" s="9"/>
      <c r="X14" s="9"/>
      <c r="Y14" s="9"/>
      <c r="Z14" s="9"/>
      <c r="AA14" s="18"/>
    </row>
    <row r="15" spans="1:27" x14ac:dyDescent="0.25">
      <c r="A15" s="9">
        <v>14</v>
      </c>
      <c r="B15" s="9" t="s">
        <v>28</v>
      </c>
      <c r="C15" s="10">
        <v>9.35906161883127E-2</v>
      </c>
      <c r="D15" s="11">
        <v>0.28748783016402002</v>
      </c>
      <c r="E15" s="11">
        <v>0.61892155364766799</v>
      </c>
      <c r="F15" s="10">
        <v>0</v>
      </c>
      <c r="G15" s="13">
        <v>200.73680385697</v>
      </c>
      <c r="H15" s="9">
        <v>5.8778126795642198E-2</v>
      </c>
      <c r="I15" s="15">
        <v>47.608053853256003</v>
      </c>
      <c r="J15" s="15">
        <v>4.96631249068475</v>
      </c>
      <c r="K15" s="15">
        <v>35.660071881761198</v>
      </c>
      <c r="L15" s="15">
        <v>3.5408953897001001</v>
      </c>
      <c r="M15" s="15">
        <v>8.2246663845979704</v>
      </c>
      <c r="N15" s="10"/>
      <c r="O15" s="10"/>
      <c r="P15" s="10"/>
      <c r="Q15" s="13"/>
      <c r="R15" s="9"/>
      <c r="S15" s="9"/>
      <c r="T15" s="9"/>
      <c r="U15" s="9"/>
      <c r="V15" s="9"/>
      <c r="W15" s="9"/>
      <c r="X15" s="9"/>
      <c r="Y15" s="9"/>
      <c r="Z15" s="9"/>
      <c r="AA15" s="18"/>
    </row>
  </sheetData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9"/>
  <sheetViews>
    <sheetView topLeftCell="D1" zoomScale="85" zoomScaleNormal="85" workbookViewId="0">
      <selection activeCell="H29" sqref="H29"/>
    </sheetView>
  </sheetViews>
  <sheetFormatPr defaultColWidth="8.7265625" defaultRowHeight="14" x14ac:dyDescent="0.25"/>
  <cols>
    <col min="2" max="2" width="11.1796875" customWidth="1"/>
    <col min="3" max="4" width="12.81640625"/>
    <col min="5" max="5" width="17.6328125" customWidth="1"/>
    <col min="6" max="6" width="12.81640625"/>
    <col min="7" max="7" width="46.36328125" customWidth="1"/>
    <col min="8" max="8" width="14"/>
    <col min="13" max="13" width="32.453125" customWidth="1"/>
  </cols>
  <sheetData>
    <row r="1" spans="1:27" x14ac:dyDescent="0.25">
      <c r="A1" s="8" t="s">
        <v>104</v>
      </c>
      <c r="B1" s="8" t="s">
        <v>105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8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s="14"/>
      <c r="O1" s="14"/>
      <c r="P1" s="14"/>
      <c r="Q1" s="9"/>
      <c r="R1" s="8"/>
      <c r="S1" s="8"/>
      <c r="T1" s="8"/>
      <c r="U1" s="8"/>
      <c r="V1" s="8"/>
      <c r="W1" s="8"/>
      <c r="X1" s="8"/>
      <c r="Y1" s="8"/>
      <c r="Z1" s="8"/>
      <c r="AA1" s="17"/>
    </row>
    <row r="2" spans="1:27" x14ac:dyDescent="0.25">
      <c r="A2" s="9">
        <v>1</v>
      </c>
      <c r="B2" s="9" t="s">
        <v>15</v>
      </c>
      <c r="C2" s="10">
        <v>5.7776262286214101E-3</v>
      </c>
      <c r="D2" s="11">
        <v>0.85981376803325604</v>
      </c>
      <c r="E2" s="11">
        <v>0.134330977574358</v>
      </c>
      <c r="F2" s="10">
        <v>7.7628163764730193E-5</v>
      </c>
      <c r="G2" s="12">
        <f>(B36-$C$36)/$D$36</f>
        <v>2.2562526000132599</v>
      </c>
      <c r="H2" s="9">
        <f>(B20-$C$20)/$D$20</f>
        <v>1.54280228408299</v>
      </c>
      <c r="I2" s="15">
        <v>57.3066499285774</v>
      </c>
      <c r="J2" s="15">
        <v>13.205400424167101</v>
      </c>
      <c r="K2" s="15">
        <v>21.571540907071501</v>
      </c>
      <c r="L2" s="15">
        <v>2.7541932458018099</v>
      </c>
      <c r="M2" s="15">
        <v>5.1622154943822203</v>
      </c>
      <c r="N2" s="10"/>
      <c r="O2" s="10"/>
      <c r="P2" s="10"/>
      <c r="Q2" s="13"/>
      <c r="R2" s="9"/>
      <c r="S2" s="9"/>
      <c r="T2" s="9"/>
      <c r="U2" s="9"/>
      <c r="V2" s="9"/>
      <c r="W2" s="9"/>
      <c r="X2" s="9"/>
      <c r="Y2" s="9"/>
      <c r="Z2" s="9"/>
      <c r="AA2" s="18"/>
    </row>
    <row r="3" spans="1:27" x14ac:dyDescent="0.25">
      <c r="A3" s="9">
        <v>2</v>
      </c>
      <c r="B3" s="9" t="s">
        <v>16</v>
      </c>
      <c r="C3" s="10">
        <v>0.67329501066893505</v>
      </c>
      <c r="D3" s="11">
        <v>5.6667793803854899E-3</v>
      </c>
      <c r="E3" s="11">
        <v>0.321038209950679</v>
      </c>
      <c r="F3" s="10">
        <v>0</v>
      </c>
      <c r="G3" s="12">
        <f t="shared" ref="G3:G15" si="0">(B37-$C$36)/$D$36</f>
        <v>-1.48901355346549</v>
      </c>
      <c r="H3" s="9">
        <f t="shared" ref="H3:H15" si="1">(B21-$C$20)/$D$20</f>
        <v>-2.0744356825170298</v>
      </c>
      <c r="I3" s="15">
        <v>26.121173599891701</v>
      </c>
      <c r="J3" s="15">
        <v>2.1119131369553599</v>
      </c>
      <c r="K3" s="15">
        <v>10.268917634204399</v>
      </c>
      <c r="L3" s="15">
        <v>58.105621710550402</v>
      </c>
      <c r="M3" s="15">
        <v>3.39237391839817</v>
      </c>
      <c r="N3" s="10"/>
      <c r="O3" s="10"/>
      <c r="P3" s="10"/>
      <c r="Q3" s="13"/>
      <c r="R3" s="9"/>
      <c r="S3" s="9"/>
      <c r="T3" s="9"/>
      <c r="U3" s="9"/>
      <c r="V3" s="9"/>
      <c r="W3" s="9"/>
      <c r="X3" s="9"/>
      <c r="Y3" s="9"/>
      <c r="Z3" s="9"/>
      <c r="AA3" s="18"/>
    </row>
    <row r="4" spans="1:27" x14ac:dyDescent="0.25">
      <c r="A4" s="9">
        <v>3</v>
      </c>
      <c r="B4" s="9" t="s">
        <v>17</v>
      </c>
      <c r="C4" s="10">
        <v>2.2299433987198199E-2</v>
      </c>
      <c r="D4" s="11">
        <v>0.44649680698795902</v>
      </c>
      <c r="E4" s="11">
        <v>0.53087943238650404</v>
      </c>
      <c r="F4" s="10">
        <v>3.2432663833810801E-4</v>
      </c>
      <c r="G4" s="12">
        <f t="shared" si="0"/>
        <v>3.95014528912353E-2</v>
      </c>
      <c r="H4" s="9">
        <f t="shared" si="1"/>
        <v>0.16575397399428801</v>
      </c>
      <c r="I4" s="16">
        <v>69.790032622502906</v>
      </c>
      <c r="J4" s="16">
        <v>12.720615354754701</v>
      </c>
      <c r="K4" s="16">
        <v>11.4390624222347</v>
      </c>
      <c r="L4" s="16">
        <v>2.2177181035638398</v>
      </c>
      <c r="M4" s="16">
        <v>3.8325714969438902</v>
      </c>
      <c r="N4" s="10"/>
      <c r="O4" s="10"/>
      <c r="P4" s="10"/>
      <c r="Q4" s="13"/>
      <c r="R4" s="9"/>
      <c r="S4" s="9"/>
      <c r="T4" s="9"/>
      <c r="U4" s="9"/>
      <c r="V4" s="9"/>
      <c r="W4" s="9"/>
      <c r="X4" s="9"/>
      <c r="Y4" s="9"/>
      <c r="Z4" s="9"/>
      <c r="AA4" s="18"/>
    </row>
    <row r="5" spans="1:27" x14ac:dyDescent="0.25">
      <c r="A5" s="9">
        <v>4</v>
      </c>
      <c r="B5" s="9" t="s">
        <v>18</v>
      </c>
      <c r="C5" s="10">
        <v>7.0708867001046796E-2</v>
      </c>
      <c r="D5" s="11">
        <v>0.42653135184144902</v>
      </c>
      <c r="E5" s="11">
        <v>0.50121721370554295</v>
      </c>
      <c r="F5" s="10">
        <v>1.54256745196149E-3</v>
      </c>
      <c r="G5" s="12">
        <f t="shared" si="0"/>
        <v>-0.219400038419792</v>
      </c>
      <c r="H5" s="9">
        <f t="shared" si="1"/>
        <v>-7.6147992742301995E-2</v>
      </c>
      <c r="I5" s="15">
        <v>28.1429389997116</v>
      </c>
      <c r="J5" s="15">
        <v>14.855532237372501</v>
      </c>
      <c r="K5" s="15">
        <v>8.4787823001553697</v>
      </c>
      <c r="L5" s="15">
        <v>42.912344830973801</v>
      </c>
      <c r="M5" s="15">
        <v>5.6104016317868002</v>
      </c>
      <c r="N5" s="10"/>
      <c r="O5" s="10"/>
      <c r="P5" s="10"/>
      <c r="Q5" s="13"/>
      <c r="R5" s="9"/>
      <c r="S5" s="9"/>
      <c r="T5" s="9"/>
      <c r="U5" s="9"/>
      <c r="V5" s="9"/>
      <c r="W5" s="9"/>
      <c r="X5" s="9"/>
      <c r="Y5" s="9"/>
      <c r="Z5" s="9"/>
      <c r="AA5" s="18"/>
    </row>
    <row r="6" spans="1:27" x14ac:dyDescent="0.25">
      <c r="A6" s="9">
        <v>5</v>
      </c>
      <c r="B6" s="9" t="s">
        <v>19</v>
      </c>
      <c r="C6" s="10">
        <v>0.30873503293003601</v>
      </c>
      <c r="D6" s="11">
        <v>0.23877579544959901</v>
      </c>
      <c r="E6" s="11">
        <v>0.452489171620365</v>
      </c>
      <c r="F6" s="10">
        <v>0</v>
      </c>
      <c r="G6" s="12">
        <f t="shared" si="0"/>
        <v>-0.83838782484863394</v>
      </c>
      <c r="H6" s="9">
        <f t="shared" si="1"/>
        <v>-0.92684773444703406</v>
      </c>
      <c r="I6" s="15">
        <v>51.558438945713</v>
      </c>
      <c r="J6" s="15">
        <v>6.8902395343641203</v>
      </c>
      <c r="K6" s="15">
        <v>26.819763516414302</v>
      </c>
      <c r="L6" s="15">
        <v>8.8974052615030992</v>
      </c>
      <c r="M6" s="15">
        <v>5.8341527420055002</v>
      </c>
      <c r="N6" s="10"/>
      <c r="O6" s="10"/>
      <c r="P6" s="10"/>
      <c r="Q6" s="13"/>
      <c r="R6" s="9"/>
      <c r="S6" s="9"/>
      <c r="T6" s="9"/>
      <c r="U6" s="9"/>
      <c r="V6" s="9"/>
      <c r="W6" s="9"/>
      <c r="X6" s="9"/>
      <c r="Y6" s="9"/>
      <c r="Z6" s="9"/>
      <c r="AA6" s="18"/>
    </row>
    <row r="7" spans="1:27" x14ac:dyDescent="0.25">
      <c r="A7" s="9">
        <v>6</v>
      </c>
      <c r="B7" s="9" t="s">
        <v>20</v>
      </c>
      <c r="C7" s="10">
        <v>3.0558527085207801E-2</v>
      </c>
      <c r="D7" s="11">
        <v>0.71844426012819396</v>
      </c>
      <c r="E7" s="11">
        <v>0.247009240887336</v>
      </c>
      <c r="F7" s="10">
        <v>3.9879718992617197E-3</v>
      </c>
      <c r="G7" s="12">
        <f t="shared" si="0"/>
        <v>1.1278638858897201</v>
      </c>
      <c r="H7" s="9">
        <f t="shared" si="1"/>
        <v>1.0091032268294899</v>
      </c>
      <c r="I7" s="15">
        <v>75.5827815561248</v>
      </c>
      <c r="J7" s="15">
        <v>3.9268717213636699</v>
      </c>
      <c r="K7" s="15">
        <v>15.772131107318399</v>
      </c>
      <c r="L7" s="15">
        <v>1.51430133896995</v>
      </c>
      <c r="M7" s="15">
        <v>3.2039142762231898</v>
      </c>
      <c r="N7" s="10"/>
      <c r="O7" s="10"/>
      <c r="P7" s="10"/>
      <c r="Q7" s="13"/>
      <c r="R7" s="9"/>
      <c r="S7" s="9"/>
      <c r="T7" s="9"/>
      <c r="U7" s="9"/>
      <c r="V7" s="9"/>
      <c r="W7" s="9"/>
      <c r="X7" s="9"/>
      <c r="Y7" s="9"/>
      <c r="Z7" s="9"/>
      <c r="AA7" s="18"/>
    </row>
    <row r="8" spans="1:27" x14ac:dyDescent="0.25">
      <c r="A8" s="9">
        <v>7</v>
      </c>
      <c r="B8" s="9" t="s">
        <v>21</v>
      </c>
      <c r="C8" s="10">
        <v>3.0312368083723101E-3</v>
      </c>
      <c r="D8" s="11">
        <v>0.81449516576653702</v>
      </c>
      <c r="E8" s="11">
        <v>0.180628097768496</v>
      </c>
      <c r="F8" s="10">
        <v>1.84549965659506E-3</v>
      </c>
      <c r="G8" s="12">
        <f t="shared" si="0"/>
        <v>1.2077891988765399</v>
      </c>
      <c r="H8" s="9">
        <f t="shared" si="1"/>
        <v>1.4455660745841401</v>
      </c>
      <c r="I8" s="15">
        <v>43.889000120345997</v>
      </c>
      <c r="J8" s="15">
        <v>11.0672409944649</v>
      </c>
      <c r="K8" s="15">
        <v>39.084678627121903</v>
      </c>
      <c r="L8" s="15">
        <v>2.1131909456189</v>
      </c>
      <c r="M8" s="15">
        <v>3.8458893124483802</v>
      </c>
      <c r="N8" s="10"/>
      <c r="O8" s="10"/>
      <c r="P8" s="10"/>
      <c r="Q8" s="13"/>
      <c r="R8" s="9"/>
      <c r="S8" s="9"/>
      <c r="T8" s="9"/>
      <c r="U8" s="9"/>
      <c r="V8" s="9"/>
      <c r="W8" s="9"/>
      <c r="X8" s="9"/>
      <c r="Y8" s="9"/>
      <c r="Z8" s="9"/>
      <c r="AA8" s="18"/>
    </row>
    <row r="9" spans="1:27" x14ac:dyDescent="0.25">
      <c r="A9" s="9">
        <v>8</v>
      </c>
      <c r="B9" s="9" t="s">
        <v>22</v>
      </c>
      <c r="C9" s="10">
        <v>2.9281559182344999E-2</v>
      </c>
      <c r="D9" s="11">
        <v>0.64836201451389996</v>
      </c>
      <c r="E9" s="11">
        <v>0.315437361570436</v>
      </c>
      <c r="F9" s="10">
        <v>6.9190647333187997E-3</v>
      </c>
      <c r="G9" s="12">
        <f t="shared" si="0"/>
        <v>0.37924654828637999</v>
      </c>
      <c r="H9" s="9">
        <f t="shared" si="1"/>
        <v>0.57227909646839403</v>
      </c>
      <c r="I9" s="15">
        <v>61.224474749128603</v>
      </c>
      <c r="J9" s="15">
        <v>8.6135268250928299</v>
      </c>
      <c r="K9" s="15">
        <v>19.140608921924901</v>
      </c>
      <c r="L9" s="15">
        <v>3.9676831757212399</v>
      </c>
      <c r="M9" s="15">
        <v>7.0537063281325203</v>
      </c>
      <c r="N9" s="10"/>
      <c r="O9" s="10"/>
      <c r="P9" s="10"/>
      <c r="Q9" s="13"/>
      <c r="R9" s="9"/>
      <c r="S9" s="9"/>
      <c r="T9" s="9"/>
      <c r="U9" s="9"/>
      <c r="V9" s="9"/>
      <c r="W9" s="9"/>
      <c r="X9" s="9"/>
      <c r="Y9" s="9"/>
      <c r="Z9" s="9"/>
      <c r="AA9" s="18"/>
    </row>
    <row r="10" spans="1:27" x14ac:dyDescent="0.25">
      <c r="A10" s="9">
        <v>9</v>
      </c>
      <c r="B10" s="9" t="s">
        <v>23</v>
      </c>
      <c r="C10" s="10">
        <v>7.7088820162017499E-2</v>
      </c>
      <c r="D10" s="11">
        <v>0.44091363002429002</v>
      </c>
      <c r="E10" s="11">
        <v>0.48195091997047201</v>
      </c>
      <c r="F10" s="10">
        <v>4.6629843220777799E-5</v>
      </c>
      <c r="G10" s="12">
        <f t="shared" si="0"/>
        <v>-9.4406020037239094E-2</v>
      </c>
      <c r="H10" s="9">
        <f t="shared" si="1"/>
        <v>7.1198295306388895E-2</v>
      </c>
      <c r="I10" s="15">
        <v>61.588892102150901</v>
      </c>
      <c r="J10" s="15">
        <v>8.0541250351190996</v>
      </c>
      <c r="K10" s="15">
        <v>22.422098674713698</v>
      </c>
      <c r="L10" s="15">
        <v>2.4805574363257699</v>
      </c>
      <c r="M10" s="15">
        <v>5.45432675169058</v>
      </c>
      <c r="N10" s="10"/>
      <c r="O10" s="10"/>
      <c r="P10" s="10"/>
      <c r="Q10" s="13"/>
      <c r="R10" s="9"/>
      <c r="S10" s="9"/>
      <c r="T10" s="9"/>
      <c r="U10" s="9"/>
      <c r="V10" s="9"/>
      <c r="W10" s="9"/>
      <c r="X10" s="9"/>
      <c r="Y10" s="9"/>
      <c r="Z10" s="9"/>
      <c r="AA10" s="18"/>
    </row>
    <row r="11" spans="1:27" x14ac:dyDescent="0.25">
      <c r="A11" s="9">
        <v>10</v>
      </c>
      <c r="B11" s="9" t="s">
        <v>24</v>
      </c>
      <c r="C11" s="10">
        <v>2.52887999153425E-2</v>
      </c>
      <c r="D11" s="11">
        <v>0.55969765445738495</v>
      </c>
      <c r="E11" s="11">
        <v>0.41485764353552801</v>
      </c>
      <c r="F11" s="10">
        <v>1.5590209174446199E-4</v>
      </c>
      <c r="G11" s="12">
        <f t="shared" si="0"/>
        <v>0.26667573783169701</v>
      </c>
      <c r="H11" s="9">
        <f t="shared" si="1"/>
        <v>0.408498823114053</v>
      </c>
      <c r="I11" s="15">
        <v>61.704536709825099</v>
      </c>
      <c r="J11" s="15">
        <v>10.0668735920401</v>
      </c>
      <c r="K11" s="15">
        <v>21.5367766762607</v>
      </c>
      <c r="L11" s="15">
        <v>2.21272391635185</v>
      </c>
      <c r="M11" s="15">
        <v>4.4790891055222799</v>
      </c>
      <c r="N11" s="10"/>
      <c r="O11" s="10"/>
      <c r="P11" s="10"/>
      <c r="Q11" s="13"/>
      <c r="R11" s="9"/>
      <c r="S11" s="9"/>
      <c r="T11" s="9"/>
      <c r="U11" s="9"/>
      <c r="V11" s="9"/>
      <c r="W11" s="9"/>
      <c r="X11" s="9"/>
      <c r="Y11" s="9"/>
      <c r="Z11" s="9"/>
      <c r="AA11" s="18"/>
    </row>
    <row r="12" spans="1:27" x14ac:dyDescent="0.25">
      <c r="A12" s="9">
        <v>11</v>
      </c>
      <c r="B12" s="9" t="s">
        <v>25</v>
      </c>
      <c r="C12" s="10">
        <v>0.152513445947456</v>
      </c>
      <c r="D12" s="11">
        <v>0.23814138699083701</v>
      </c>
      <c r="E12" s="11">
        <v>0.60929167272752605</v>
      </c>
      <c r="F12" s="10">
        <v>5.3494334180571297E-5</v>
      </c>
      <c r="G12" s="12">
        <f t="shared" si="0"/>
        <v>-0.52949931716148502</v>
      </c>
      <c r="H12" s="9">
        <f t="shared" si="1"/>
        <v>-0.68325783797914097</v>
      </c>
      <c r="I12" s="15">
        <v>64.336307039647394</v>
      </c>
      <c r="J12" s="15">
        <v>5.6979088553596204</v>
      </c>
      <c r="K12" s="15">
        <v>22.966491167871101</v>
      </c>
      <c r="L12" s="15">
        <v>4.0364666166743</v>
      </c>
      <c r="M12" s="15">
        <v>2.96282632044759</v>
      </c>
      <c r="N12" s="10"/>
      <c r="O12" s="10"/>
      <c r="P12" s="10"/>
      <c r="Q12" s="13"/>
      <c r="R12" s="9"/>
      <c r="S12" s="9"/>
      <c r="T12" s="9"/>
      <c r="U12" s="9"/>
      <c r="V12" s="9"/>
      <c r="W12" s="9"/>
      <c r="X12" s="9"/>
      <c r="Y12" s="9"/>
      <c r="Z12" s="9"/>
      <c r="AA12" s="18"/>
    </row>
    <row r="13" spans="1:27" x14ac:dyDescent="0.25">
      <c r="A13" s="9">
        <v>12</v>
      </c>
      <c r="B13" s="9" t="s">
        <v>26</v>
      </c>
      <c r="C13" s="10">
        <v>0.11311915183098201</v>
      </c>
      <c r="D13" s="11">
        <v>0.181529280389716</v>
      </c>
      <c r="E13" s="11">
        <v>0.70535156777930197</v>
      </c>
      <c r="F13" s="10">
        <v>0</v>
      </c>
      <c r="G13" s="12">
        <f t="shared" si="0"/>
        <v>-1.07589491851161</v>
      </c>
      <c r="H13" s="9">
        <f t="shared" si="1"/>
        <v>-1.01293757538559</v>
      </c>
      <c r="I13" s="15">
        <v>52.697219057732902</v>
      </c>
      <c r="J13" s="15">
        <v>7.5611720206348698</v>
      </c>
      <c r="K13" s="15">
        <v>18.901630995928301</v>
      </c>
      <c r="L13" s="15">
        <v>15.957215564757901</v>
      </c>
      <c r="M13" s="15">
        <v>4.88276236094607</v>
      </c>
      <c r="N13" s="10"/>
      <c r="O13" s="10"/>
      <c r="P13" s="10"/>
      <c r="Q13" s="13"/>
      <c r="R13" s="9"/>
      <c r="S13" s="9"/>
      <c r="T13" s="9"/>
      <c r="U13" s="9"/>
      <c r="V13" s="9"/>
      <c r="W13" s="9"/>
      <c r="X13" s="9"/>
      <c r="Y13" s="9"/>
      <c r="Z13" s="9"/>
      <c r="AA13" s="18"/>
    </row>
    <row r="14" spans="1:27" x14ac:dyDescent="0.25">
      <c r="A14" s="9">
        <v>13</v>
      </c>
      <c r="B14" s="9" t="s">
        <v>27</v>
      </c>
      <c r="C14" s="10">
        <v>5.8743057389236096E-3</v>
      </c>
      <c r="D14" s="11">
        <v>0.43723389214234998</v>
      </c>
      <c r="E14" s="11">
        <v>0.55674073194146501</v>
      </c>
      <c r="F14" s="10">
        <v>1.51070177262131E-4</v>
      </c>
      <c r="G14" s="12">
        <f t="shared" si="0"/>
        <v>-0.426581499563981</v>
      </c>
      <c r="H14" s="9">
        <f t="shared" si="1"/>
        <v>0.11565391582760701</v>
      </c>
      <c r="I14" s="15">
        <v>56.397346209614398</v>
      </c>
      <c r="J14" s="15">
        <v>16.520188095508601</v>
      </c>
      <c r="K14" s="15">
        <v>19.0040691648713</v>
      </c>
      <c r="L14" s="15">
        <v>3.9195755647513302</v>
      </c>
      <c r="M14" s="15">
        <v>4.1588209652544004</v>
      </c>
      <c r="N14" s="10"/>
      <c r="O14" s="10"/>
      <c r="P14" s="10"/>
      <c r="Q14" s="13"/>
      <c r="R14" s="9"/>
      <c r="S14" s="9"/>
      <c r="T14" s="9"/>
      <c r="U14" s="9"/>
      <c r="V14" s="9"/>
      <c r="W14" s="9"/>
      <c r="X14" s="9"/>
      <c r="Y14" s="9"/>
      <c r="Z14" s="9"/>
      <c r="AA14" s="18"/>
    </row>
    <row r="15" spans="1:27" x14ac:dyDescent="0.25">
      <c r="A15" s="9">
        <v>14</v>
      </c>
      <c r="B15" s="9" t="s">
        <v>28</v>
      </c>
      <c r="C15" s="10">
        <v>9.35906161883127E-2</v>
      </c>
      <c r="D15" s="11">
        <v>0.28748783016402002</v>
      </c>
      <c r="E15" s="11">
        <v>0.61892155364766799</v>
      </c>
      <c r="F15" s="10">
        <v>0</v>
      </c>
      <c r="G15" s="12">
        <f t="shared" si="0"/>
        <v>-0.604146251780599</v>
      </c>
      <c r="H15" s="9">
        <f t="shared" si="1"/>
        <v>-0.55722886713625897</v>
      </c>
      <c r="I15" s="15">
        <v>47.608053853256003</v>
      </c>
      <c r="J15" s="15">
        <v>4.96631249068475</v>
      </c>
      <c r="K15" s="15">
        <v>35.660071881761198</v>
      </c>
      <c r="L15" s="15">
        <v>3.5408953897001001</v>
      </c>
      <c r="M15" s="15">
        <v>8.2246663845979704</v>
      </c>
      <c r="N15" s="10"/>
      <c r="O15" s="10"/>
      <c r="P15" s="10"/>
      <c r="Q15" s="13"/>
      <c r="R15" s="9"/>
      <c r="S15" s="9"/>
      <c r="T15" s="9"/>
      <c r="U15" s="9"/>
      <c r="V15" s="9"/>
      <c r="W15" s="9"/>
      <c r="X15" s="9"/>
      <c r="Y15" s="9"/>
      <c r="Z15" s="9"/>
      <c r="AA15" s="18"/>
    </row>
    <row r="19" spans="1:6" x14ac:dyDescent="0.25">
      <c r="A19" s="9"/>
      <c r="B19" s="8" t="s">
        <v>9</v>
      </c>
      <c r="C19" t="s">
        <v>106</v>
      </c>
      <c r="D19" t="s">
        <v>107</v>
      </c>
      <c r="E19" t="s">
        <v>108</v>
      </c>
      <c r="F19" t="s">
        <v>109</v>
      </c>
    </row>
    <row r="20" spans="1:6" x14ac:dyDescent="0.25">
      <c r="A20" s="13"/>
      <c r="B20" s="9">
        <v>0.12555411921371501</v>
      </c>
      <c r="C20">
        <f>AVERAGE(B20:B33)</f>
        <v>7.6496678534943394E-2</v>
      </c>
      <c r="D20">
        <f>STDEV(B20:B33)</f>
        <v>3.1797619944496501E-2</v>
      </c>
      <c r="E20">
        <f>AVERAGE(H2:H15)</f>
        <v>1.98254111540207E-16</v>
      </c>
      <c r="F20">
        <f>STDEV(H2:H15)</f>
        <v>1</v>
      </c>
    </row>
    <row r="21" spans="1:6" x14ac:dyDescent="0.25">
      <c r="A21" s="13"/>
      <c r="B21" s="9">
        <v>1.0534561102964701E-2</v>
      </c>
    </row>
    <row r="22" spans="1:6" x14ac:dyDescent="0.25">
      <c r="A22" s="13"/>
      <c r="B22" s="9">
        <v>8.1767260404303696E-2</v>
      </c>
    </row>
    <row r="23" spans="1:6" x14ac:dyDescent="0.25">
      <c r="A23" s="13"/>
      <c r="B23" s="9">
        <v>7.4075353602187394E-2</v>
      </c>
    </row>
    <row r="24" spans="1:6" x14ac:dyDescent="0.25">
      <c r="A24" s="13"/>
      <c r="B24" s="9">
        <v>4.7025126528578903E-2</v>
      </c>
    </row>
    <row r="25" spans="1:6" x14ac:dyDescent="0.25">
      <c r="A25" s="13"/>
      <c r="B25" s="9">
        <v>0.108583759426433</v>
      </c>
    </row>
    <row r="26" spans="1:6" x14ac:dyDescent="0.25">
      <c r="A26" s="13"/>
      <c r="B26" s="9">
        <v>0.12246223917922799</v>
      </c>
    </row>
    <row r="27" spans="1:6" x14ac:dyDescent="0.25">
      <c r="A27" s="13"/>
      <c r="B27" s="9">
        <v>9.4693791746625205E-2</v>
      </c>
    </row>
    <row r="28" spans="1:6" x14ac:dyDescent="0.25">
      <c r="A28" s="13"/>
      <c r="B28" s="9">
        <v>7.8760614869791898E-2</v>
      </c>
    </row>
    <row r="29" spans="1:6" x14ac:dyDescent="0.25">
      <c r="A29" s="13"/>
      <c r="B29" s="9">
        <v>8.9485968860098103E-2</v>
      </c>
    </row>
    <row r="30" spans="1:6" x14ac:dyDescent="0.25">
      <c r="A30" s="13"/>
      <c r="B30" s="9">
        <v>5.4770705478784203E-2</v>
      </c>
    </row>
    <row r="31" spans="1:6" x14ac:dyDescent="0.25">
      <c r="A31" s="13"/>
      <c r="B31" s="9">
        <v>4.4287674485332697E-2</v>
      </c>
    </row>
    <row r="32" spans="1:6" x14ac:dyDescent="0.25">
      <c r="A32" s="13"/>
      <c r="B32" s="9">
        <v>8.0174197795522401E-2</v>
      </c>
    </row>
    <row r="33" spans="1:6" x14ac:dyDescent="0.25">
      <c r="A33" s="13"/>
      <c r="B33" s="9">
        <v>5.8778126795642198E-2</v>
      </c>
    </row>
    <row r="35" spans="1:6" x14ac:dyDescent="0.25">
      <c r="B35" s="9" t="s">
        <v>8</v>
      </c>
      <c r="C35" t="s">
        <v>110</v>
      </c>
      <c r="D35" t="s">
        <v>111</v>
      </c>
      <c r="E35" t="s">
        <v>112</v>
      </c>
      <c r="F35" t="s">
        <v>113</v>
      </c>
    </row>
    <row r="36" spans="1:6" x14ac:dyDescent="0.25">
      <c r="B36" s="13">
        <v>744.90175922323795</v>
      </c>
      <c r="C36">
        <f>AVERAGE(B36:B49)</f>
        <v>315.67015237538197</v>
      </c>
      <c r="D36">
        <f>STDEV(B36:B49)</f>
        <v>190.240936163502</v>
      </c>
      <c r="E36">
        <f>AVERAGE(G2:G15)</f>
        <v>-5.4718134785097004E-16</v>
      </c>
      <c r="F36">
        <f>STDEV(G2:G15)</f>
        <v>1</v>
      </c>
    </row>
    <row r="37" spans="1:6" x14ac:dyDescent="0.25">
      <c r="B37" s="13">
        <v>32.398820003964303</v>
      </c>
    </row>
    <row r="38" spans="1:6" x14ac:dyDescent="0.25">
      <c r="B38" s="13">
        <v>323.18494575322899</v>
      </c>
    </row>
    <row r="39" spans="1:6" x14ac:dyDescent="0.25">
      <c r="B39" s="13">
        <v>273.93128367209198</v>
      </c>
    </row>
    <row r="40" spans="1:6" x14ac:dyDescent="0.25">
      <c r="B40" s="13">
        <v>156.17446770809599</v>
      </c>
    </row>
    <row r="41" spans="1:6" x14ac:dyDescent="0.25">
      <c r="B41" s="13">
        <v>530.23603389204595</v>
      </c>
    </row>
    <row r="42" spans="1:6" x14ac:dyDescent="0.25">
      <c r="B42" s="13">
        <v>545.44110025781902</v>
      </c>
    </row>
    <row r="43" spans="1:6" x14ac:dyDescent="0.25">
      <c r="B43" s="13">
        <v>387.81837075815901</v>
      </c>
    </row>
    <row r="44" spans="1:6" x14ac:dyDescent="0.25">
      <c r="B44" s="13">
        <v>297.71026274402698</v>
      </c>
    </row>
    <row r="45" spans="1:6" x14ac:dyDescent="0.25">
      <c r="B45" s="13">
        <v>366.40279439257603</v>
      </c>
    </row>
    <row r="46" spans="1:6" x14ac:dyDescent="0.25">
      <c r="B46" s="13">
        <v>214.93770658064599</v>
      </c>
    </row>
    <row r="47" spans="1:6" x14ac:dyDescent="0.25">
      <c r="B47" s="13">
        <v>110.990895864179</v>
      </c>
    </row>
    <row r="48" spans="1:6" x14ac:dyDescent="0.25">
      <c r="B48" s="13">
        <v>234.51688854829999</v>
      </c>
    </row>
    <row r="49" spans="2:2" x14ac:dyDescent="0.25">
      <c r="B49" s="13">
        <v>200.73680385697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1"/>
  <sheetViews>
    <sheetView zoomScale="70" zoomScaleNormal="70" workbookViewId="0">
      <selection activeCell="C2" sqref="C2"/>
    </sheetView>
  </sheetViews>
  <sheetFormatPr defaultColWidth="8.7265625" defaultRowHeight="14" x14ac:dyDescent="0.25"/>
  <cols>
    <col min="3" max="6" width="12.81640625"/>
    <col min="7" max="7" width="14"/>
    <col min="8" max="8" width="12.90625" customWidth="1"/>
    <col min="9" max="9" width="6.26953125" customWidth="1"/>
    <col min="14" max="14" width="28.90625" customWidth="1"/>
  </cols>
  <sheetData>
    <row r="1" spans="1:14" x14ac:dyDescent="0.25">
      <c r="A1" t="s">
        <v>104</v>
      </c>
      <c r="B1" t="s">
        <v>105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114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1</v>
      </c>
      <c r="B2" t="s">
        <v>15</v>
      </c>
      <c r="C2">
        <v>5.7776262286214101E-3</v>
      </c>
      <c r="D2">
        <v>0.85981376803325604</v>
      </c>
      <c r="E2">
        <v>0.134330977574358</v>
      </c>
      <c r="F2">
        <v>7.7628163764730193E-5</v>
      </c>
      <c r="G2">
        <v>2.2562526000132599</v>
      </c>
      <c r="H2">
        <v>1.54280228408299</v>
      </c>
      <c r="I2">
        <v>0.1</v>
      </c>
      <c r="J2">
        <v>55.2</v>
      </c>
      <c r="K2">
        <v>9.6</v>
      </c>
      <c r="L2">
        <v>28.2</v>
      </c>
      <c r="M2">
        <v>5.0999999999999996</v>
      </c>
      <c r="N2">
        <v>1.9</v>
      </c>
    </row>
    <row r="3" spans="1:14" x14ac:dyDescent="0.25">
      <c r="A3">
        <v>2</v>
      </c>
      <c r="B3" t="s">
        <v>16</v>
      </c>
      <c r="C3">
        <v>0.67329501066893505</v>
      </c>
      <c r="D3">
        <v>5.6667793803854899E-3</v>
      </c>
      <c r="E3">
        <v>0.321038209950679</v>
      </c>
      <c r="F3">
        <v>0</v>
      </c>
      <c r="G3">
        <v>-1.48901355346549</v>
      </c>
      <c r="H3">
        <v>-2.0744356825170298</v>
      </c>
      <c r="I3">
        <v>0.1</v>
      </c>
      <c r="J3">
        <v>22.8</v>
      </c>
      <c r="K3">
        <v>0.7</v>
      </c>
      <c r="L3">
        <v>14.4</v>
      </c>
      <c r="M3">
        <v>60.8</v>
      </c>
      <c r="N3">
        <v>1.3</v>
      </c>
    </row>
    <row r="4" spans="1:14" x14ac:dyDescent="0.25">
      <c r="A4">
        <v>3</v>
      </c>
      <c r="B4" t="s">
        <v>17</v>
      </c>
      <c r="C4">
        <v>2.2299433987198199E-2</v>
      </c>
      <c r="D4">
        <v>0.44649680698795902</v>
      </c>
      <c r="E4">
        <v>0.53087943238650404</v>
      </c>
      <c r="F4">
        <v>3.2432663833810801E-4</v>
      </c>
      <c r="G4">
        <v>3.95014528912353E-2</v>
      </c>
      <c r="H4">
        <v>0.16575397399428801</v>
      </c>
      <c r="I4">
        <v>0.1</v>
      </c>
      <c r="J4">
        <v>72.099999999999994</v>
      </c>
      <c r="K4">
        <v>9.5</v>
      </c>
      <c r="L4">
        <v>12.7</v>
      </c>
      <c r="M4">
        <v>3.4</v>
      </c>
      <c r="N4">
        <v>2.2999999999999998</v>
      </c>
    </row>
    <row r="5" spans="1:14" x14ac:dyDescent="0.25">
      <c r="A5">
        <v>4</v>
      </c>
      <c r="B5" t="s">
        <v>18</v>
      </c>
      <c r="C5">
        <v>7.0708867001046796E-2</v>
      </c>
      <c r="D5">
        <v>0.42653135184144902</v>
      </c>
      <c r="E5">
        <v>0.50121721370554295</v>
      </c>
      <c r="F5">
        <v>1.54256745196149E-3</v>
      </c>
      <c r="G5">
        <v>-0.219400038419792</v>
      </c>
      <c r="H5">
        <v>-7.6147992742301995E-2</v>
      </c>
      <c r="I5">
        <v>0.1</v>
      </c>
      <c r="J5">
        <v>31.5</v>
      </c>
      <c r="K5">
        <v>12.7</v>
      </c>
      <c r="L5">
        <v>11.3</v>
      </c>
      <c r="M5" s="6">
        <v>43</v>
      </c>
      <c r="N5">
        <v>1.5</v>
      </c>
    </row>
    <row r="6" spans="1:14" x14ac:dyDescent="0.25">
      <c r="A6">
        <v>5</v>
      </c>
      <c r="B6" t="s">
        <v>19</v>
      </c>
      <c r="C6">
        <v>0.30873503293003601</v>
      </c>
      <c r="D6">
        <v>0.23877579544959901</v>
      </c>
      <c r="E6">
        <v>0.452489171620365</v>
      </c>
      <c r="F6">
        <v>0</v>
      </c>
      <c r="G6">
        <v>-0.83838782484863394</v>
      </c>
      <c r="H6">
        <v>-0.92684773444703406</v>
      </c>
      <c r="I6">
        <v>0.1</v>
      </c>
      <c r="J6">
        <v>43.8</v>
      </c>
      <c r="K6">
        <v>6.3</v>
      </c>
      <c r="L6">
        <v>34.799999999999997</v>
      </c>
      <c r="M6">
        <v>10.3</v>
      </c>
      <c r="N6">
        <v>4.8</v>
      </c>
    </row>
    <row r="7" spans="1:14" x14ac:dyDescent="0.25">
      <c r="A7">
        <v>6</v>
      </c>
      <c r="B7" t="s">
        <v>20</v>
      </c>
      <c r="C7">
        <v>3.0558527085207801E-2</v>
      </c>
      <c r="D7">
        <v>0.71844426012819396</v>
      </c>
      <c r="E7">
        <v>0.247009240887336</v>
      </c>
      <c r="F7">
        <v>3.9879718992617197E-3</v>
      </c>
      <c r="G7">
        <v>1.1278638858897201</v>
      </c>
      <c r="H7">
        <v>1.0091032268294899</v>
      </c>
      <c r="I7">
        <v>0.1</v>
      </c>
      <c r="J7">
        <v>61.3</v>
      </c>
      <c r="K7">
        <v>6.3</v>
      </c>
      <c r="L7">
        <v>27.5</v>
      </c>
      <c r="M7">
        <v>2.2999999999999998</v>
      </c>
      <c r="N7">
        <v>2.6</v>
      </c>
    </row>
    <row r="8" spans="1:14" x14ac:dyDescent="0.25">
      <c r="A8">
        <v>7</v>
      </c>
      <c r="B8" t="s">
        <v>21</v>
      </c>
      <c r="C8">
        <v>3.0312368083723101E-3</v>
      </c>
      <c r="D8">
        <v>0.81449516576653702</v>
      </c>
      <c r="E8">
        <v>0.180628097768496</v>
      </c>
      <c r="F8">
        <v>1.84549965659506E-3</v>
      </c>
      <c r="G8">
        <v>1.2077891988765399</v>
      </c>
      <c r="H8">
        <v>1.4455660745841401</v>
      </c>
      <c r="I8">
        <v>0.1</v>
      </c>
      <c r="J8">
        <v>44.7</v>
      </c>
      <c r="K8">
        <v>9.4</v>
      </c>
      <c r="L8">
        <v>41</v>
      </c>
      <c r="M8">
        <v>3</v>
      </c>
      <c r="N8">
        <v>1.9</v>
      </c>
    </row>
    <row r="9" spans="1:14" x14ac:dyDescent="0.25">
      <c r="A9">
        <v>8</v>
      </c>
      <c r="B9" t="s">
        <v>22</v>
      </c>
      <c r="C9">
        <v>2.9281559182344999E-2</v>
      </c>
      <c r="D9">
        <v>0.64836201451389996</v>
      </c>
      <c r="E9">
        <v>0.315437361570436</v>
      </c>
      <c r="F9">
        <v>6.9190647333187997E-3</v>
      </c>
      <c r="G9">
        <v>0.37924654828637999</v>
      </c>
      <c r="H9">
        <v>0.57227909646839403</v>
      </c>
      <c r="I9">
        <v>0.1</v>
      </c>
      <c r="J9">
        <v>55.4</v>
      </c>
      <c r="K9">
        <v>10.1</v>
      </c>
      <c r="L9">
        <v>27.1</v>
      </c>
      <c r="M9">
        <v>4.3</v>
      </c>
      <c r="N9">
        <v>3.1</v>
      </c>
    </row>
    <row r="10" spans="1:14" x14ac:dyDescent="0.25">
      <c r="A10">
        <v>9</v>
      </c>
      <c r="B10" t="s">
        <v>23</v>
      </c>
      <c r="C10">
        <v>7.7088820162017499E-2</v>
      </c>
      <c r="D10">
        <v>0.44091363002429002</v>
      </c>
      <c r="E10">
        <v>0.48195091997047201</v>
      </c>
      <c r="F10">
        <v>4.6629843220777799E-5</v>
      </c>
      <c r="G10">
        <v>-9.4406020037239094E-2</v>
      </c>
      <c r="H10">
        <v>7.1198295306388895E-2</v>
      </c>
      <c r="I10">
        <v>0.1</v>
      </c>
      <c r="J10">
        <v>59.2</v>
      </c>
      <c r="K10">
        <v>7.3</v>
      </c>
      <c r="L10">
        <v>28.3</v>
      </c>
      <c r="M10">
        <v>2.6</v>
      </c>
      <c r="N10">
        <v>2.6</v>
      </c>
    </row>
    <row r="11" spans="1:14" x14ac:dyDescent="0.25">
      <c r="A11">
        <v>10</v>
      </c>
      <c r="B11" t="s">
        <v>24</v>
      </c>
      <c r="C11">
        <v>2.52887999153425E-2</v>
      </c>
      <c r="D11">
        <v>0.55969765445738495</v>
      </c>
      <c r="E11">
        <v>0.41485764353552801</v>
      </c>
      <c r="F11">
        <v>1.5590209174446199E-4</v>
      </c>
      <c r="G11">
        <v>0.26667573783169701</v>
      </c>
      <c r="H11">
        <v>0.408498823114053</v>
      </c>
      <c r="I11">
        <v>0.1</v>
      </c>
      <c r="J11">
        <v>57.6</v>
      </c>
      <c r="K11">
        <v>7.8</v>
      </c>
      <c r="L11">
        <v>28.5</v>
      </c>
      <c r="M11">
        <v>2.8</v>
      </c>
      <c r="N11">
        <v>3.3</v>
      </c>
    </row>
    <row r="12" spans="1:14" x14ac:dyDescent="0.25">
      <c r="A12">
        <v>11</v>
      </c>
      <c r="B12" t="s">
        <v>25</v>
      </c>
      <c r="C12">
        <v>0.152513445947456</v>
      </c>
      <c r="D12">
        <v>0.23814138699083701</v>
      </c>
      <c r="E12">
        <v>0.60929167272752605</v>
      </c>
      <c r="F12">
        <v>5.3494334180571297E-5</v>
      </c>
      <c r="G12">
        <v>-0.52949931716148502</v>
      </c>
      <c r="H12">
        <v>-0.68325783797914097</v>
      </c>
      <c r="I12">
        <v>0.1</v>
      </c>
      <c r="J12">
        <v>54</v>
      </c>
      <c r="K12">
        <v>5</v>
      </c>
      <c r="L12">
        <v>32</v>
      </c>
      <c r="M12">
        <v>4</v>
      </c>
      <c r="N12">
        <v>5</v>
      </c>
    </row>
    <row r="13" spans="1:14" x14ac:dyDescent="0.25">
      <c r="A13">
        <v>12</v>
      </c>
      <c r="B13" t="s">
        <v>26</v>
      </c>
      <c r="C13">
        <v>0.11311915183098201</v>
      </c>
      <c r="D13">
        <v>0.181529280389716</v>
      </c>
      <c r="E13">
        <v>0.70535156777930197</v>
      </c>
      <c r="F13">
        <v>0</v>
      </c>
      <c r="G13">
        <v>-1.07589491851161</v>
      </c>
      <c r="H13">
        <v>-1.01293757538559</v>
      </c>
      <c r="I13">
        <v>0.1</v>
      </c>
      <c r="J13">
        <v>45.3</v>
      </c>
      <c r="K13">
        <v>7.5</v>
      </c>
      <c r="L13">
        <v>26.3</v>
      </c>
      <c r="M13">
        <v>19.2</v>
      </c>
      <c r="N13">
        <v>1.7</v>
      </c>
    </row>
    <row r="14" spans="1:14" x14ac:dyDescent="0.25">
      <c r="A14">
        <v>13</v>
      </c>
      <c r="B14" t="s">
        <v>27</v>
      </c>
      <c r="C14">
        <v>5.8743057389236096E-3</v>
      </c>
      <c r="D14">
        <v>0.43723389214234998</v>
      </c>
      <c r="E14">
        <v>0.55674073194146501</v>
      </c>
      <c r="F14">
        <v>1.51070177262131E-4</v>
      </c>
      <c r="G14">
        <v>-0.426581499563981</v>
      </c>
      <c r="H14">
        <v>0.11565391582760701</v>
      </c>
      <c r="I14">
        <v>0.1</v>
      </c>
      <c r="J14">
        <v>51.1</v>
      </c>
      <c r="K14">
        <v>14.4</v>
      </c>
      <c r="L14">
        <v>26.7</v>
      </c>
      <c r="M14">
        <v>4.3</v>
      </c>
      <c r="N14">
        <v>3.5</v>
      </c>
    </row>
    <row r="15" spans="1:14" x14ac:dyDescent="0.25">
      <c r="A15">
        <v>14</v>
      </c>
      <c r="B15" t="s">
        <v>28</v>
      </c>
      <c r="C15">
        <v>9.35906161883127E-2</v>
      </c>
      <c r="D15">
        <v>0.28748783016402002</v>
      </c>
      <c r="E15">
        <v>0.61892155364766799</v>
      </c>
      <c r="F15">
        <v>0</v>
      </c>
      <c r="G15">
        <v>-0.604146251780599</v>
      </c>
      <c r="H15">
        <v>-0.55722886713625897</v>
      </c>
      <c r="I15">
        <v>0.1</v>
      </c>
      <c r="J15">
        <v>39.299999999999997</v>
      </c>
      <c r="K15">
        <v>5.7</v>
      </c>
      <c r="L15">
        <v>45.2</v>
      </c>
      <c r="M15">
        <v>4.3</v>
      </c>
      <c r="N15">
        <v>5.5</v>
      </c>
    </row>
    <row r="16" spans="1:14" x14ac:dyDescent="0.25">
      <c r="A16">
        <v>1</v>
      </c>
      <c r="B16" t="s">
        <v>15</v>
      </c>
      <c r="C16">
        <v>5.7776262286214101E-3</v>
      </c>
      <c r="D16">
        <v>0.85981376803325604</v>
      </c>
      <c r="E16">
        <v>0.134330977574358</v>
      </c>
      <c r="F16">
        <v>7.7628163764730193E-5</v>
      </c>
      <c r="G16">
        <v>2.2562526000132599</v>
      </c>
      <c r="H16">
        <v>1.54280228408299</v>
      </c>
      <c r="I16">
        <v>0.2</v>
      </c>
      <c r="J16" s="1">
        <v>55.4</v>
      </c>
      <c r="K16" s="1">
        <v>10.4</v>
      </c>
      <c r="L16" s="1">
        <v>26.8</v>
      </c>
      <c r="M16" s="1">
        <v>5.5</v>
      </c>
      <c r="N16" s="1">
        <v>1.9</v>
      </c>
    </row>
    <row r="17" spans="1:14" x14ac:dyDescent="0.25">
      <c r="A17">
        <v>2</v>
      </c>
      <c r="B17" t="s">
        <v>16</v>
      </c>
      <c r="C17">
        <v>0.67329501066893505</v>
      </c>
      <c r="D17">
        <v>5.6667793803854899E-3</v>
      </c>
      <c r="E17">
        <v>0.321038209950679</v>
      </c>
      <c r="F17">
        <v>0</v>
      </c>
      <c r="G17">
        <v>-1.48901355346549</v>
      </c>
      <c r="H17">
        <v>-2.0744356825170298</v>
      </c>
      <c r="I17">
        <v>0.2</v>
      </c>
      <c r="J17" s="1">
        <v>21.6</v>
      </c>
      <c r="K17" s="1">
        <v>1.4</v>
      </c>
      <c r="L17" s="1">
        <v>13.3</v>
      </c>
      <c r="M17" s="1">
        <v>62.3</v>
      </c>
      <c r="N17" s="1">
        <v>1.4</v>
      </c>
    </row>
    <row r="18" spans="1:14" x14ac:dyDescent="0.25">
      <c r="A18">
        <v>3</v>
      </c>
      <c r="B18" t="s">
        <v>17</v>
      </c>
      <c r="C18">
        <v>2.2299433987198199E-2</v>
      </c>
      <c r="D18">
        <v>0.44649680698795902</v>
      </c>
      <c r="E18">
        <v>0.53087943238650404</v>
      </c>
      <c r="F18">
        <v>3.2432663833810801E-4</v>
      </c>
      <c r="G18">
        <v>3.95014528912353E-2</v>
      </c>
      <c r="H18">
        <v>0.16575397399428801</v>
      </c>
      <c r="I18">
        <v>0.2</v>
      </c>
      <c r="J18" s="1">
        <v>70.7</v>
      </c>
      <c r="K18" s="1">
        <v>10.3</v>
      </c>
      <c r="L18" s="1">
        <v>12.6</v>
      </c>
      <c r="M18" s="1">
        <v>3.9</v>
      </c>
      <c r="N18" s="1">
        <v>2.5</v>
      </c>
    </row>
    <row r="19" spans="1:14" x14ac:dyDescent="0.25">
      <c r="A19">
        <v>4</v>
      </c>
      <c r="B19" t="s">
        <v>18</v>
      </c>
      <c r="C19">
        <v>7.0708867001046796E-2</v>
      </c>
      <c r="D19">
        <v>0.42653135184144902</v>
      </c>
      <c r="E19">
        <v>0.50121721370554295</v>
      </c>
      <c r="F19">
        <v>1.54256745196149E-3</v>
      </c>
      <c r="G19">
        <v>-0.219400038419792</v>
      </c>
      <c r="H19">
        <v>-7.6147992742301995E-2</v>
      </c>
      <c r="I19">
        <v>0.2</v>
      </c>
      <c r="J19" s="1">
        <v>28.6</v>
      </c>
      <c r="K19" s="1">
        <v>13.4</v>
      </c>
      <c r="L19" s="1">
        <v>10.3</v>
      </c>
      <c r="M19" s="1">
        <v>46.1</v>
      </c>
      <c r="N19" s="1">
        <v>1.6</v>
      </c>
    </row>
    <row r="20" spans="1:14" x14ac:dyDescent="0.25">
      <c r="A20">
        <v>5</v>
      </c>
      <c r="B20" t="s">
        <v>19</v>
      </c>
      <c r="C20">
        <v>0.30873503293003601</v>
      </c>
      <c r="D20">
        <v>0.23877579544959901</v>
      </c>
      <c r="E20">
        <v>0.452489171620365</v>
      </c>
      <c r="F20">
        <v>0</v>
      </c>
      <c r="G20">
        <v>-0.83838782484863394</v>
      </c>
      <c r="H20">
        <v>-0.92684773444703406</v>
      </c>
      <c r="I20">
        <v>0.2</v>
      </c>
      <c r="J20" s="1">
        <v>43.9</v>
      </c>
      <c r="K20" s="1">
        <v>5.6</v>
      </c>
      <c r="L20" s="1">
        <v>33.5</v>
      </c>
      <c r="M20" s="1">
        <v>11.9</v>
      </c>
      <c r="N20" s="1">
        <v>5.0999999999999996</v>
      </c>
    </row>
    <row r="21" spans="1:14" x14ac:dyDescent="0.25">
      <c r="A21">
        <v>6</v>
      </c>
      <c r="B21" t="s">
        <v>20</v>
      </c>
      <c r="C21">
        <v>3.0558527085207801E-2</v>
      </c>
      <c r="D21">
        <v>0.71844426012819396</v>
      </c>
      <c r="E21">
        <v>0.247009240887336</v>
      </c>
      <c r="F21">
        <v>3.9879718992617197E-3</v>
      </c>
      <c r="G21">
        <v>1.1278638858897201</v>
      </c>
      <c r="H21">
        <v>1.0091032268294899</v>
      </c>
      <c r="I21">
        <v>0.2</v>
      </c>
      <c r="J21" s="1">
        <v>63.3</v>
      </c>
      <c r="K21" s="1">
        <v>6.2</v>
      </c>
      <c r="L21" s="1">
        <v>25.4</v>
      </c>
      <c r="M21" s="1">
        <v>2.4</v>
      </c>
      <c r="N21" s="1">
        <v>2.7</v>
      </c>
    </row>
    <row r="22" spans="1:14" x14ac:dyDescent="0.25">
      <c r="A22">
        <v>7</v>
      </c>
      <c r="B22" t="s">
        <v>21</v>
      </c>
      <c r="C22">
        <v>3.0312368083723101E-3</v>
      </c>
      <c r="D22">
        <v>0.81449516576653702</v>
      </c>
      <c r="E22">
        <v>0.180628097768496</v>
      </c>
      <c r="F22">
        <v>1.84549965659506E-3</v>
      </c>
      <c r="G22">
        <v>1.2077891988765399</v>
      </c>
      <c r="H22">
        <v>1.4455660745841401</v>
      </c>
      <c r="I22">
        <v>0.2</v>
      </c>
      <c r="J22" s="1">
        <v>45.1</v>
      </c>
      <c r="K22" s="1">
        <v>9.5</v>
      </c>
      <c r="L22" s="1">
        <v>40.200000000000003</v>
      </c>
      <c r="M22" s="1">
        <v>3.2</v>
      </c>
      <c r="N22" s="1">
        <v>2</v>
      </c>
    </row>
    <row r="23" spans="1:14" x14ac:dyDescent="0.25">
      <c r="A23">
        <v>8</v>
      </c>
      <c r="B23" t="s">
        <v>22</v>
      </c>
      <c r="C23">
        <v>2.9281559182344999E-2</v>
      </c>
      <c r="D23">
        <v>0.64836201451389996</v>
      </c>
      <c r="E23">
        <v>0.315437361570436</v>
      </c>
      <c r="F23">
        <v>6.9190647333187997E-3</v>
      </c>
      <c r="G23">
        <v>0.37924654828637999</v>
      </c>
      <c r="H23">
        <v>0.57227909646839403</v>
      </c>
      <c r="I23">
        <v>0.2</v>
      </c>
      <c r="J23" s="1">
        <v>56.9</v>
      </c>
      <c r="K23" s="1">
        <v>10.3</v>
      </c>
      <c r="L23" s="1">
        <v>24.9</v>
      </c>
      <c r="M23" s="1">
        <v>4.9000000000000004</v>
      </c>
      <c r="N23" s="1">
        <v>3</v>
      </c>
    </row>
    <row r="24" spans="1:14" x14ac:dyDescent="0.25">
      <c r="A24">
        <v>9</v>
      </c>
      <c r="B24" t="s">
        <v>23</v>
      </c>
      <c r="C24">
        <v>7.7088820162017499E-2</v>
      </c>
      <c r="D24">
        <v>0.44091363002429002</v>
      </c>
      <c r="E24">
        <v>0.48195091997047201</v>
      </c>
      <c r="F24">
        <v>4.6629843220777799E-5</v>
      </c>
      <c r="G24">
        <v>-9.4406020037239094E-2</v>
      </c>
      <c r="H24">
        <v>7.1198295306388895E-2</v>
      </c>
      <c r="I24">
        <v>0.2</v>
      </c>
      <c r="J24" s="1">
        <v>59.1</v>
      </c>
      <c r="K24" s="1">
        <v>6.9</v>
      </c>
      <c r="L24" s="1">
        <v>28.5</v>
      </c>
      <c r="M24" s="1">
        <v>2.9</v>
      </c>
      <c r="N24" s="1">
        <v>2.6</v>
      </c>
    </row>
    <row r="25" spans="1:14" x14ac:dyDescent="0.25">
      <c r="A25">
        <v>10</v>
      </c>
      <c r="B25" t="s">
        <v>24</v>
      </c>
      <c r="C25">
        <v>2.52887999153425E-2</v>
      </c>
      <c r="D25">
        <v>0.55969765445738495</v>
      </c>
      <c r="E25">
        <v>0.41485764353552801</v>
      </c>
      <c r="F25">
        <v>1.5590209174446199E-4</v>
      </c>
      <c r="G25">
        <v>0.26667573783169701</v>
      </c>
      <c r="H25">
        <v>0.408498823114053</v>
      </c>
      <c r="I25">
        <v>0.2</v>
      </c>
      <c r="J25" s="1">
        <v>58.3</v>
      </c>
      <c r="K25" s="1">
        <v>7.8</v>
      </c>
      <c r="L25" s="1">
        <v>27.5</v>
      </c>
      <c r="M25" s="1">
        <v>3</v>
      </c>
      <c r="N25" s="1">
        <v>3.4</v>
      </c>
    </row>
    <row r="26" spans="1:14" x14ac:dyDescent="0.25">
      <c r="A26">
        <v>11</v>
      </c>
      <c r="B26" t="s">
        <v>25</v>
      </c>
      <c r="C26">
        <v>0.152513445947456</v>
      </c>
      <c r="D26">
        <v>0.23814138699083701</v>
      </c>
      <c r="E26">
        <v>0.60929167272752605</v>
      </c>
      <c r="F26">
        <v>5.3494334180571297E-5</v>
      </c>
      <c r="G26">
        <v>-0.52949931716148502</v>
      </c>
      <c r="H26">
        <v>-0.68325783797914097</v>
      </c>
      <c r="I26">
        <v>0.2</v>
      </c>
      <c r="J26" s="1">
        <v>55.5</v>
      </c>
      <c r="K26" s="1">
        <v>4.7</v>
      </c>
      <c r="L26" s="1">
        <v>30.4</v>
      </c>
      <c r="M26" s="1">
        <v>4.0999999999999996</v>
      </c>
      <c r="N26" s="1">
        <v>5.3</v>
      </c>
    </row>
    <row r="27" spans="1:14" x14ac:dyDescent="0.25">
      <c r="A27">
        <v>12</v>
      </c>
      <c r="B27" t="s">
        <v>26</v>
      </c>
      <c r="C27">
        <v>0.11311915183098201</v>
      </c>
      <c r="D27">
        <v>0.181529280389716</v>
      </c>
      <c r="E27">
        <v>0.70535156777930197</v>
      </c>
      <c r="F27">
        <v>0</v>
      </c>
      <c r="G27">
        <v>-1.07589491851161</v>
      </c>
      <c r="H27">
        <v>-1.01293757538559</v>
      </c>
      <c r="I27">
        <v>0.2</v>
      </c>
      <c r="J27" s="1">
        <v>46.3</v>
      </c>
      <c r="K27" s="1">
        <v>7.2</v>
      </c>
      <c r="L27" s="1">
        <v>25</v>
      </c>
      <c r="M27" s="1">
        <v>19.7</v>
      </c>
      <c r="N27" s="1">
        <v>1.8</v>
      </c>
    </row>
    <row r="28" spans="1:14" x14ac:dyDescent="0.25">
      <c r="A28">
        <v>13</v>
      </c>
      <c r="B28" t="s">
        <v>27</v>
      </c>
      <c r="C28">
        <v>5.8743057389236096E-3</v>
      </c>
      <c r="D28">
        <v>0.43723389214234998</v>
      </c>
      <c r="E28">
        <v>0.55674073194146501</v>
      </c>
      <c r="F28">
        <v>1.51070177262131E-4</v>
      </c>
      <c r="G28">
        <v>-0.426581499563981</v>
      </c>
      <c r="H28">
        <v>0.11565391582760701</v>
      </c>
      <c r="I28">
        <v>0.2</v>
      </c>
      <c r="J28" s="1">
        <v>51.8</v>
      </c>
      <c r="K28" s="1">
        <v>15.2</v>
      </c>
      <c r="L28" s="1">
        <v>24.5</v>
      </c>
      <c r="M28" s="1">
        <v>4.7</v>
      </c>
      <c r="N28" s="1">
        <v>3.8</v>
      </c>
    </row>
    <row r="29" spans="1:14" x14ac:dyDescent="0.25">
      <c r="A29">
        <v>14</v>
      </c>
      <c r="B29" t="s">
        <v>28</v>
      </c>
      <c r="C29">
        <v>9.35906161883127E-2</v>
      </c>
      <c r="D29">
        <v>0.28748783016402002</v>
      </c>
      <c r="E29">
        <v>0.61892155364766799</v>
      </c>
      <c r="F29">
        <v>0</v>
      </c>
      <c r="G29">
        <v>-0.604146251780599</v>
      </c>
      <c r="H29">
        <v>-0.55722886713625897</v>
      </c>
      <c r="I29">
        <v>0.2</v>
      </c>
      <c r="J29" s="1">
        <v>41</v>
      </c>
      <c r="K29" s="1">
        <v>6.1</v>
      </c>
      <c r="L29" s="1">
        <v>42.4</v>
      </c>
      <c r="M29" s="1">
        <v>4.4000000000000004</v>
      </c>
      <c r="N29" s="1">
        <v>6.1</v>
      </c>
    </row>
    <row r="30" spans="1:14" x14ac:dyDescent="0.25">
      <c r="A30">
        <v>1</v>
      </c>
      <c r="B30" t="s">
        <v>15</v>
      </c>
      <c r="C30">
        <v>5.7776262286214101E-3</v>
      </c>
      <c r="D30">
        <v>0.85981376803325604</v>
      </c>
      <c r="E30">
        <v>0.134330977574358</v>
      </c>
      <c r="F30">
        <v>7.7628163764730193E-5</v>
      </c>
      <c r="G30">
        <v>2.2562526000132599</v>
      </c>
      <c r="H30">
        <v>1.54280228408299</v>
      </c>
      <c r="I30">
        <v>0.3</v>
      </c>
      <c r="J30" s="2">
        <v>55.4</v>
      </c>
      <c r="K30" s="2">
        <v>10.1</v>
      </c>
      <c r="L30" s="5">
        <v>27</v>
      </c>
      <c r="M30" s="2">
        <v>5.6</v>
      </c>
      <c r="N30" s="2">
        <v>1.9</v>
      </c>
    </row>
    <row r="31" spans="1:14" x14ac:dyDescent="0.25">
      <c r="A31">
        <v>2</v>
      </c>
      <c r="B31" t="s">
        <v>16</v>
      </c>
      <c r="C31">
        <v>0.67329501066893505</v>
      </c>
      <c r="D31">
        <v>5.6667793803854899E-3</v>
      </c>
      <c r="E31">
        <v>0.321038209950679</v>
      </c>
      <c r="F31">
        <v>0</v>
      </c>
      <c r="G31">
        <v>-1.48901355346549</v>
      </c>
      <c r="H31">
        <v>-2.0744356825170298</v>
      </c>
      <c r="I31">
        <v>0.3</v>
      </c>
      <c r="J31" s="2">
        <v>20.7</v>
      </c>
      <c r="K31" s="2">
        <v>1.6</v>
      </c>
      <c r="L31" s="2">
        <v>13.1</v>
      </c>
      <c r="M31" s="5">
        <v>63</v>
      </c>
      <c r="N31" s="2">
        <v>1.6</v>
      </c>
    </row>
    <row r="32" spans="1:14" x14ac:dyDescent="0.25">
      <c r="A32">
        <v>3</v>
      </c>
      <c r="B32" t="s">
        <v>17</v>
      </c>
      <c r="C32">
        <v>2.2299433987198199E-2</v>
      </c>
      <c r="D32">
        <v>0.44649680698795902</v>
      </c>
      <c r="E32">
        <v>0.53087943238650404</v>
      </c>
      <c r="F32">
        <v>3.2432663833810801E-4</v>
      </c>
      <c r="G32">
        <v>3.95014528912353E-2</v>
      </c>
      <c r="H32">
        <v>0.16575397399428801</v>
      </c>
      <c r="I32">
        <v>0.3</v>
      </c>
      <c r="J32" s="3">
        <v>70.400000000000006</v>
      </c>
      <c r="K32" s="4">
        <v>10.3</v>
      </c>
      <c r="L32" s="3">
        <v>12.8</v>
      </c>
      <c r="M32" s="3">
        <v>3.9</v>
      </c>
      <c r="N32" s="4">
        <v>2.6</v>
      </c>
    </row>
    <row r="33" spans="1:14" x14ac:dyDescent="0.25">
      <c r="A33">
        <v>4</v>
      </c>
      <c r="B33" t="s">
        <v>18</v>
      </c>
      <c r="C33">
        <v>7.0708867001046796E-2</v>
      </c>
      <c r="D33">
        <v>0.42653135184144902</v>
      </c>
      <c r="E33">
        <v>0.50121721370554295</v>
      </c>
      <c r="F33">
        <v>1.54256745196149E-3</v>
      </c>
      <c r="G33">
        <v>-0.219400038419792</v>
      </c>
      <c r="H33">
        <v>-7.6147992742301995E-2</v>
      </c>
      <c r="I33">
        <v>0.3</v>
      </c>
      <c r="J33" s="2">
        <v>29.1</v>
      </c>
      <c r="K33" s="2">
        <v>11.4</v>
      </c>
      <c r="L33" s="2">
        <v>10.4</v>
      </c>
      <c r="M33" s="2">
        <v>47.5</v>
      </c>
      <c r="N33" s="5">
        <v>1.6</v>
      </c>
    </row>
    <row r="34" spans="1:14" x14ac:dyDescent="0.25">
      <c r="A34">
        <v>5</v>
      </c>
      <c r="B34" t="s">
        <v>19</v>
      </c>
      <c r="C34">
        <v>0.30873503293003601</v>
      </c>
      <c r="D34">
        <v>0.23877579544959901</v>
      </c>
      <c r="E34">
        <v>0.452489171620365</v>
      </c>
      <c r="F34">
        <v>0</v>
      </c>
      <c r="G34">
        <v>-0.83838782484863394</v>
      </c>
      <c r="H34">
        <v>-0.92684773444703406</v>
      </c>
      <c r="I34">
        <v>0.3</v>
      </c>
      <c r="J34" s="2">
        <v>42.7</v>
      </c>
      <c r="K34" s="2">
        <v>5.7</v>
      </c>
      <c r="L34" s="2">
        <v>33.4</v>
      </c>
      <c r="M34" s="2">
        <v>13.2</v>
      </c>
      <c r="N34" s="2">
        <v>5.0999999999999996</v>
      </c>
    </row>
    <row r="35" spans="1:14" x14ac:dyDescent="0.25">
      <c r="A35">
        <v>6</v>
      </c>
      <c r="B35" t="s">
        <v>20</v>
      </c>
      <c r="C35">
        <v>3.0558527085207801E-2</v>
      </c>
      <c r="D35">
        <v>0.71844426012819396</v>
      </c>
      <c r="E35">
        <v>0.247009240887336</v>
      </c>
      <c r="F35">
        <v>3.9879718992617197E-3</v>
      </c>
      <c r="G35">
        <v>1.1278638858897201</v>
      </c>
      <c r="H35">
        <v>1.0091032268294899</v>
      </c>
      <c r="I35">
        <v>0.3</v>
      </c>
      <c r="J35" s="2">
        <v>63.1</v>
      </c>
      <c r="K35" s="2">
        <v>6.1</v>
      </c>
      <c r="L35" s="2">
        <v>25.7</v>
      </c>
      <c r="M35" s="2">
        <v>2.4</v>
      </c>
      <c r="N35" s="2">
        <v>2.7</v>
      </c>
    </row>
    <row r="36" spans="1:14" x14ac:dyDescent="0.25">
      <c r="A36">
        <v>7</v>
      </c>
      <c r="B36" t="s">
        <v>21</v>
      </c>
      <c r="C36">
        <v>3.0312368083723101E-3</v>
      </c>
      <c r="D36">
        <v>0.81449516576653702</v>
      </c>
      <c r="E36">
        <v>0.180628097768496</v>
      </c>
      <c r="F36">
        <v>1.84549965659506E-3</v>
      </c>
      <c r="G36">
        <v>1.2077891988765399</v>
      </c>
      <c r="H36">
        <v>1.4455660745841401</v>
      </c>
      <c r="I36">
        <v>0.3</v>
      </c>
      <c r="J36" s="2">
        <v>44.5</v>
      </c>
      <c r="K36" s="2">
        <v>9.8000000000000007</v>
      </c>
      <c r="L36" s="2">
        <v>40.200000000000003</v>
      </c>
      <c r="M36" s="2">
        <v>3.2</v>
      </c>
      <c r="N36" s="2">
        <v>2.2000000000000002</v>
      </c>
    </row>
    <row r="37" spans="1:14" x14ac:dyDescent="0.25">
      <c r="A37">
        <v>8</v>
      </c>
      <c r="B37" t="s">
        <v>22</v>
      </c>
      <c r="C37">
        <v>2.9281559182344999E-2</v>
      </c>
      <c r="D37">
        <v>0.64836201451389996</v>
      </c>
      <c r="E37">
        <v>0.315437361570436</v>
      </c>
      <c r="F37">
        <v>6.9190647333187997E-3</v>
      </c>
      <c r="G37">
        <v>0.37924654828637999</v>
      </c>
      <c r="H37">
        <v>0.57227909646839403</v>
      </c>
      <c r="I37">
        <v>0.3</v>
      </c>
      <c r="J37" s="2">
        <v>56.3</v>
      </c>
      <c r="K37" s="2">
        <v>10.3</v>
      </c>
      <c r="L37" s="2">
        <v>25.9</v>
      </c>
      <c r="M37" s="2">
        <v>4.5999999999999996</v>
      </c>
      <c r="N37" s="5">
        <v>3</v>
      </c>
    </row>
    <row r="38" spans="1:14" x14ac:dyDescent="0.25">
      <c r="A38">
        <v>9</v>
      </c>
      <c r="B38" t="s">
        <v>23</v>
      </c>
      <c r="C38">
        <v>7.7088820162017499E-2</v>
      </c>
      <c r="D38">
        <v>0.44091363002429002</v>
      </c>
      <c r="E38">
        <v>0.48195091997047201</v>
      </c>
      <c r="F38">
        <v>4.6629843220777799E-5</v>
      </c>
      <c r="G38">
        <v>-9.4406020037239094E-2</v>
      </c>
      <c r="H38">
        <v>7.1198295306388895E-2</v>
      </c>
      <c r="I38">
        <v>0.3</v>
      </c>
      <c r="J38" s="2">
        <v>59.4</v>
      </c>
      <c r="K38" s="5">
        <v>7</v>
      </c>
      <c r="L38" s="2">
        <v>27.9</v>
      </c>
      <c r="M38" s="5">
        <v>3</v>
      </c>
      <c r="N38" s="5">
        <v>2.7</v>
      </c>
    </row>
    <row r="39" spans="1:14" x14ac:dyDescent="0.25">
      <c r="A39">
        <v>10</v>
      </c>
      <c r="B39" t="s">
        <v>24</v>
      </c>
      <c r="C39">
        <v>2.52887999153425E-2</v>
      </c>
      <c r="D39">
        <v>0.55969765445738495</v>
      </c>
      <c r="E39">
        <v>0.41485764353552801</v>
      </c>
      <c r="F39">
        <v>1.5590209174446199E-4</v>
      </c>
      <c r="G39">
        <v>0.26667573783169701</v>
      </c>
      <c r="H39">
        <v>0.408498823114053</v>
      </c>
      <c r="I39">
        <v>0.3</v>
      </c>
      <c r="J39" s="2">
        <v>59.2</v>
      </c>
      <c r="K39" s="2">
        <v>7.3</v>
      </c>
      <c r="L39" s="2">
        <v>26.9</v>
      </c>
      <c r="M39" s="2">
        <v>3.1</v>
      </c>
      <c r="N39" s="2">
        <v>3.4</v>
      </c>
    </row>
    <row r="40" spans="1:14" x14ac:dyDescent="0.25">
      <c r="A40">
        <v>11</v>
      </c>
      <c r="B40" t="s">
        <v>25</v>
      </c>
      <c r="C40">
        <v>0.152513445947456</v>
      </c>
      <c r="D40">
        <v>0.23814138699083701</v>
      </c>
      <c r="E40">
        <v>0.60929167272752605</v>
      </c>
      <c r="F40">
        <v>5.3494334180571297E-5</v>
      </c>
      <c r="G40">
        <v>-0.52949931716148502</v>
      </c>
      <c r="H40">
        <v>-0.68325783797914097</v>
      </c>
      <c r="I40">
        <v>0.3</v>
      </c>
      <c r="J40" s="4">
        <v>55.5</v>
      </c>
      <c r="K40" s="3">
        <v>4.5</v>
      </c>
      <c r="L40" s="3">
        <v>30.3</v>
      </c>
      <c r="M40" s="3">
        <v>4.2</v>
      </c>
      <c r="N40" s="3">
        <v>5.5</v>
      </c>
    </row>
    <row r="41" spans="1:14" x14ac:dyDescent="0.25">
      <c r="A41">
        <v>12</v>
      </c>
      <c r="B41" t="s">
        <v>26</v>
      </c>
      <c r="C41">
        <v>0.11311915183098201</v>
      </c>
      <c r="D41">
        <v>0.181529280389716</v>
      </c>
      <c r="E41">
        <v>0.70535156777930197</v>
      </c>
      <c r="F41">
        <v>0</v>
      </c>
      <c r="G41">
        <v>-1.07589491851161</v>
      </c>
      <c r="H41">
        <v>-1.01293757538559</v>
      </c>
      <c r="I41">
        <v>0.3</v>
      </c>
      <c r="J41" s="2">
        <v>45.3</v>
      </c>
      <c r="K41" s="5">
        <v>7</v>
      </c>
      <c r="L41" s="5">
        <v>25.1</v>
      </c>
      <c r="M41" s="2">
        <v>20.7</v>
      </c>
      <c r="N41" s="2">
        <v>1.9</v>
      </c>
    </row>
    <row r="42" spans="1:14" x14ac:dyDescent="0.25">
      <c r="A42">
        <v>13</v>
      </c>
      <c r="B42" t="s">
        <v>27</v>
      </c>
      <c r="C42">
        <v>5.8743057389236096E-3</v>
      </c>
      <c r="D42">
        <v>0.43723389214234998</v>
      </c>
      <c r="E42">
        <v>0.55674073194146501</v>
      </c>
      <c r="F42">
        <v>1.51070177262131E-4</v>
      </c>
      <c r="G42">
        <v>-0.426581499563981</v>
      </c>
      <c r="H42">
        <v>0.11565391582760701</v>
      </c>
      <c r="I42">
        <v>0.3</v>
      </c>
      <c r="J42" s="2">
        <v>51.1</v>
      </c>
      <c r="K42" s="2">
        <v>15.3</v>
      </c>
      <c r="L42" s="2">
        <v>24.7</v>
      </c>
      <c r="M42" s="2">
        <v>4.8</v>
      </c>
      <c r="N42" s="2">
        <v>4.0999999999999996</v>
      </c>
    </row>
    <row r="43" spans="1:14" x14ac:dyDescent="0.25">
      <c r="A43">
        <v>14</v>
      </c>
      <c r="B43" t="s">
        <v>28</v>
      </c>
      <c r="C43">
        <v>9.35906161883127E-2</v>
      </c>
      <c r="D43">
        <v>0.28748783016402002</v>
      </c>
      <c r="E43">
        <v>0.61892155364766799</v>
      </c>
      <c r="F43">
        <v>0</v>
      </c>
      <c r="G43">
        <v>-0.604146251780599</v>
      </c>
      <c r="H43">
        <v>-0.55722886713625897</v>
      </c>
      <c r="I43">
        <v>0.3</v>
      </c>
      <c r="J43" s="2">
        <v>40.4</v>
      </c>
      <c r="K43" s="2">
        <v>5.5</v>
      </c>
      <c r="L43" s="5">
        <v>43</v>
      </c>
      <c r="M43" s="2">
        <v>4.7</v>
      </c>
      <c r="N43" s="2">
        <v>6.5</v>
      </c>
    </row>
    <row r="44" spans="1:14" x14ac:dyDescent="0.25">
      <c r="A44">
        <v>1</v>
      </c>
      <c r="B44" t="s">
        <v>15</v>
      </c>
      <c r="C44">
        <v>5.7776262286214101E-3</v>
      </c>
      <c r="D44">
        <v>0.85981376803325604</v>
      </c>
      <c r="E44">
        <v>0.134330977574358</v>
      </c>
      <c r="F44">
        <v>7.7628163764730193E-5</v>
      </c>
      <c r="G44">
        <v>2.2562526000132599</v>
      </c>
      <c r="H44">
        <v>1.54280228408299</v>
      </c>
      <c r="I44">
        <v>0.4</v>
      </c>
      <c r="J44" s="2">
        <v>60.1</v>
      </c>
      <c r="K44" s="2">
        <v>11.4</v>
      </c>
      <c r="L44" s="2">
        <v>20.9</v>
      </c>
      <c r="M44" s="2">
        <v>6.4</v>
      </c>
      <c r="N44" s="2">
        <v>1.3</v>
      </c>
    </row>
    <row r="45" spans="1:14" x14ac:dyDescent="0.25">
      <c r="A45">
        <v>2</v>
      </c>
      <c r="B45" t="s">
        <v>16</v>
      </c>
      <c r="C45">
        <v>0.67329501066893505</v>
      </c>
      <c r="D45">
        <v>5.6667793803854899E-3</v>
      </c>
      <c r="E45">
        <v>0.321038209950679</v>
      </c>
      <c r="F45">
        <v>0</v>
      </c>
      <c r="G45">
        <v>-1.48901355346549</v>
      </c>
      <c r="H45">
        <v>-2.0744356825170298</v>
      </c>
      <c r="I45">
        <v>0.4</v>
      </c>
      <c r="J45" s="2">
        <v>20.8</v>
      </c>
      <c r="K45" s="2">
        <v>1.4</v>
      </c>
      <c r="L45" s="2">
        <v>8.9</v>
      </c>
      <c r="M45" s="2">
        <v>67.7</v>
      </c>
      <c r="N45" s="2">
        <v>1.3</v>
      </c>
    </row>
    <row r="46" spans="1:14" x14ac:dyDescent="0.25">
      <c r="A46">
        <v>3</v>
      </c>
      <c r="B46" t="s">
        <v>17</v>
      </c>
      <c r="C46">
        <v>2.2299433987198199E-2</v>
      </c>
      <c r="D46">
        <v>0.44649680698795902</v>
      </c>
      <c r="E46">
        <v>0.53087943238650404</v>
      </c>
      <c r="F46">
        <v>3.2432663833810801E-4</v>
      </c>
      <c r="G46">
        <v>3.95014528912353E-2</v>
      </c>
      <c r="H46">
        <v>0.16575397399428801</v>
      </c>
      <c r="I46">
        <v>0.4</v>
      </c>
      <c r="J46" s="3">
        <v>73.099999999999994</v>
      </c>
      <c r="K46" s="4">
        <v>11</v>
      </c>
      <c r="L46" s="3">
        <v>9.6</v>
      </c>
      <c r="M46" s="3">
        <v>4.4000000000000004</v>
      </c>
      <c r="N46" s="4">
        <v>2</v>
      </c>
    </row>
    <row r="47" spans="1:14" x14ac:dyDescent="0.25">
      <c r="A47">
        <v>4</v>
      </c>
      <c r="B47" t="s">
        <v>18</v>
      </c>
      <c r="C47">
        <v>7.0708867001046796E-2</v>
      </c>
      <c r="D47">
        <v>0.42653135184144902</v>
      </c>
      <c r="E47">
        <v>0.50121721370554295</v>
      </c>
      <c r="F47">
        <v>1.54256745196149E-3</v>
      </c>
      <c r="G47">
        <v>-0.219400038419792</v>
      </c>
      <c r="H47">
        <v>-7.6147992742301995E-2</v>
      </c>
      <c r="I47">
        <v>0.4</v>
      </c>
      <c r="J47" s="2">
        <v>30.2</v>
      </c>
      <c r="K47" s="2">
        <v>11.7</v>
      </c>
      <c r="L47" s="2">
        <v>8.4</v>
      </c>
      <c r="M47" s="2">
        <v>48.4</v>
      </c>
      <c r="N47" s="5">
        <v>1</v>
      </c>
    </row>
    <row r="48" spans="1:14" x14ac:dyDescent="0.25">
      <c r="A48">
        <v>5</v>
      </c>
      <c r="B48" t="s">
        <v>19</v>
      </c>
      <c r="C48">
        <v>0.30873503293003601</v>
      </c>
      <c r="D48">
        <v>0.23877579544959901</v>
      </c>
      <c r="E48">
        <v>0.452489171620365</v>
      </c>
      <c r="F48">
        <v>0</v>
      </c>
      <c r="G48">
        <v>-0.83838782484863394</v>
      </c>
      <c r="H48">
        <v>-0.92684773444703406</v>
      </c>
      <c r="I48">
        <v>0.4</v>
      </c>
      <c r="J48" s="2">
        <v>47.6</v>
      </c>
      <c r="K48" s="2">
        <v>6.1</v>
      </c>
      <c r="L48" s="2">
        <v>28.6</v>
      </c>
      <c r="M48" s="2">
        <v>14.5</v>
      </c>
      <c r="N48" s="2">
        <v>3.2</v>
      </c>
    </row>
    <row r="49" spans="1:14" x14ac:dyDescent="0.25">
      <c r="A49">
        <v>6</v>
      </c>
      <c r="B49" t="s">
        <v>20</v>
      </c>
      <c r="C49">
        <v>3.0558527085207801E-2</v>
      </c>
      <c r="D49">
        <v>0.71844426012819396</v>
      </c>
      <c r="E49">
        <v>0.247009240887336</v>
      </c>
      <c r="F49">
        <v>3.9879718992617197E-3</v>
      </c>
      <c r="G49">
        <v>1.1278638858897201</v>
      </c>
      <c r="H49">
        <v>1.0091032268294899</v>
      </c>
      <c r="I49">
        <v>0.4</v>
      </c>
      <c r="J49" s="2">
        <v>70.099999999999994</v>
      </c>
      <c r="K49" s="2">
        <v>6.9</v>
      </c>
      <c r="L49" s="2">
        <v>18.8</v>
      </c>
      <c r="M49" s="2">
        <v>2.5</v>
      </c>
      <c r="N49" s="2">
        <v>1.7</v>
      </c>
    </row>
    <row r="50" spans="1:14" x14ac:dyDescent="0.25">
      <c r="A50">
        <v>7</v>
      </c>
      <c r="B50" t="s">
        <v>21</v>
      </c>
      <c r="C50">
        <v>3.0312368083723101E-3</v>
      </c>
      <c r="D50">
        <v>0.81449516576653702</v>
      </c>
      <c r="E50">
        <v>0.180628097768496</v>
      </c>
      <c r="F50">
        <v>1.84549965659506E-3</v>
      </c>
      <c r="G50">
        <v>1.2077891988765399</v>
      </c>
      <c r="H50">
        <v>1.4455660745841401</v>
      </c>
      <c r="I50">
        <v>0.4</v>
      </c>
      <c r="J50" s="2">
        <v>48.3</v>
      </c>
      <c r="K50" s="2">
        <v>12.7</v>
      </c>
      <c r="L50" s="2">
        <v>33.700000000000003</v>
      </c>
      <c r="M50" s="2">
        <v>3.4</v>
      </c>
      <c r="N50" s="2">
        <v>2</v>
      </c>
    </row>
    <row r="51" spans="1:14" x14ac:dyDescent="0.25">
      <c r="A51">
        <v>8</v>
      </c>
      <c r="B51" t="s">
        <v>22</v>
      </c>
      <c r="C51">
        <v>2.9281559182344999E-2</v>
      </c>
      <c r="D51">
        <v>0.64836201451389996</v>
      </c>
      <c r="E51">
        <v>0.315437361570436</v>
      </c>
      <c r="F51">
        <v>6.9190647333187997E-3</v>
      </c>
      <c r="G51">
        <v>0.37924654828637999</v>
      </c>
      <c r="H51">
        <v>0.57227909646839403</v>
      </c>
      <c r="I51">
        <v>0.4</v>
      </c>
      <c r="J51" s="2">
        <v>61.1</v>
      </c>
      <c r="K51" s="2">
        <v>11.1</v>
      </c>
      <c r="L51" s="2">
        <v>20.7</v>
      </c>
      <c r="M51" s="2">
        <v>4.8</v>
      </c>
      <c r="N51" s="2">
        <v>2.4</v>
      </c>
    </row>
    <row r="52" spans="1:14" x14ac:dyDescent="0.25">
      <c r="A52">
        <v>9</v>
      </c>
      <c r="B52" t="s">
        <v>23</v>
      </c>
      <c r="C52">
        <v>7.7088820162017499E-2</v>
      </c>
      <c r="D52">
        <v>0.44091363002429002</v>
      </c>
      <c r="E52">
        <v>0.48195091997047201</v>
      </c>
      <c r="F52">
        <v>4.6629843220777799E-5</v>
      </c>
      <c r="G52">
        <v>-9.4406020037239094E-2</v>
      </c>
      <c r="H52">
        <v>7.1198295306388895E-2</v>
      </c>
      <c r="I52">
        <v>0.4</v>
      </c>
      <c r="J52" s="2">
        <v>60.9</v>
      </c>
      <c r="K52" s="2">
        <v>8.6999999999999993</v>
      </c>
      <c r="L52" s="2">
        <v>25.2</v>
      </c>
      <c r="M52" s="2">
        <v>3.3</v>
      </c>
      <c r="N52" s="5">
        <v>2</v>
      </c>
    </row>
    <row r="53" spans="1:14" x14ac:dyDescent="0.25">
      <c r="A53">
        <v>10</v>
      </c>
      <c r="B53" t="s">
        <v>24</v>
      </c>
      <c r="C53">
        <v>2.52887999153425E-2</v>
      </c>
      <c r="D53">
        <v>0.55969765445738495</v>
      </c>
      <c r="E53">
        <v>0.41485764353552801</v>
      </c>
      <c r="F53">
        <v>1.5590209174446199E-4</v>
      </c>
      <c r="G53">
        <v>0.26667573783169701</v>
      </c>
      <c r="H53">
        <v>0.408498823114053</v>
      </c>
      <c r="I53">
        <v>0.4</v>
      </c>
      <c r="J53" s="2">
        <v>64.7</v>
      </c>
      <c r="K53" s="2">
        <v>8.6</v>
      </c>
      <c r="L53" s="2">
        <v>19.899999999999999</v>
      </c>
      <c r="M53" s="2">
        <v>3.3</v>
      </c>
      <c r="N53" s="2">
        <v>3.5</v>
      </c>
    </row>
    <row r="54" spans="1:14" x14ac:dyDescent="0.25">
      <c r="A54">
        <v>11</v>
      </c>
      <c r="B54" t="s">
        <v>25</v>
      </c>
      <c r="C54">
        <v>0.152513445947456</v>
      </c>
      <c r="D54">
        <v>0.23814138699083701</v>
      </c>
      <c r="E54">
        <v>0.60929167272752605</v>
      </c>
      <c r="F54">
        <v>5.3494334180571297E-5</v>
      </c>
      <c r="G54">
        <v>-0.52949931716148502</v>
      </c>
      <c r="H54">
        <v>-0.68325783797914097</v>
      </c>
      <c r="I54">
        <v>0.4</v>
      </c>
      <c r="J54" s="4">
        <v>61</v>
      </c>
      <c r="K54" s="3">
        <v>5.2</v>
      </c>
      <c r="L54" s="3">
        <v>24.9</v>
      </c>
      <c r="M54" s="3">
        <v>4.4000000000000004</v>
      </c>
      <c r="N54" s="3">
        <v>4.5</v>
      </c>
    </row>
    <row r="55" spans="1:14" x14ac:dyDescent="0.25">
      <c r="A55">
        <v>12</v>
      </c>
      <c r="B55" t="s">
        <v>26</v>
      </c>
      <c r="C55">
        <v>0.11311915183098201</v>
      </c>
      <c r="D55">
        <v>0.181529280389716</v>
      </c>
      <c r="E55">
        <v>0.70535156777930197</v>
      </c>
      <c r="F55">
        <v>0</v>
      </c>
      <c r="G55">
        <v>-1.07589491851161</v>
      </c>
      <c r="H55">
        <v>-1.01293757538559</v>
      </c>
      <c r="I55">
        <v>0.4</v>
      </c>
      <c r="J55" s="2">
        <v>50.7</v>
      </c>
      <c r="K55" s="2">
        <v>7.1</v>
      </c>
      <c r="L55" s="5">
        <v>18</v>
      </c>
      <c r="M55" s="2">
        <v>22.9</v>
      </c>
      <c r="N55" s="2">
        <v>1.2</v>
      </c>
    </row>
    <row r="56" spans="1:14" x14ac:dyDescent="0.25">
      <c r="A56">
        <v>13</v>
      </c>
      <c r="B56" t="s">
        <v>27</v>
      </c>
      <c r="C56">
        <v>5.8743057389236096E-3</v>
      </c>
      <c r="D56">
        <v>0.43723389214234998</v>
      </c>
      <c r="E56">
        <v>0.55674073194146501</v>
      </c>
      <c r="F56">
        <v>1.51070177262131E-4</v>
      </c>
      <c r="G56">
        <v>-0.426581499563981</v>
      </c>
      <c r="H56">
        <v>0.11565391582760701</v>
      </c>
      <c r="I56">
        <v>0.4</v>
      </c>
      <c r="J56" s="2">
        <v>55.5</v>
      </c>
      <c r="K56" s="2">
        <v>16.600000000000001</v>
      </c>
      <c r="L56" s="2">
        <v>18.899999999999999</v>
      </c>
      <c r="M56" s="2">
        <v>4.8</v>
      </c>
      <c r="N56" s="2">
        <v>4.2</v>
      </c>
    </row>
    <row r="57" spans="1:14" x14ac:dyDescent="0.25">
      <c r="A57">
        <v>14</v>
      </c>
      <c r="B57" t="s">
        <v>28</v>
      </c>
      <c r="C57">
        <v>9.35906161883127E-2</v>
      </c>
      <c r="D57">
        <v>0.28748783016402002</v>
      </c>
      <c r="E57">
        <v>0.61892155364766799</v>
      </c>
      <c r="F57">
        <v>0</v>
      </c>
      <c r="G57">
        <v>-0.604146251780599</v>
      </c>
      <c r="H57">
        <v>-0.55722886713625897</v>
      </c>
      <c r="I57">
        <v>0.4</v>
      </c>
      <c r="J57" s="2">
        <v>48.5</v>
      </c>
      <c r="K57" s="2">
        <v>6.7</v>
      </c>
      <c r="L57" s="2">
        <v>35.5</v>
      </c>
      <c r="M57" s="2">
        <v>5.6</v>
      </c>
      <c r="N57" s="2">
        <v>3.7</v>
      </c>
    </row>
    <row r="58" spans="1:14" x14ac:dyDescent="0.25">
      <c r="A58">
        <v>1</v>
      </c>
      <c r="B58" t="s">
        <v>15</v>
      </c>
      <c r="C58">
        <v>5.7776262286214101E-3</v>
      </c>
      <c r="D58">
        <v>0.85981376803325604</v>
      </c>
      <c r="E58">
        <v>0.134330977574358</v>
      </c>
      <c r="F58">
        <v>7.7628163764730193E-5</v>
      </c>
      <c r="G58">
        <v>2.2562526000132599</v>
      </c>
      <c r="H58">
        <v>1.54280228408299</v>
      </c>
      <c r="I58">
        <v>0.5</v>
      </c>
      <c r="J58" s="2">
        <v>57.4</v>
      </c>
      <c r="K58" s="2">
        <v>10.8</v>
      </c>
      <c r="L58" s="5">
        <v>24</v>
      </c>
      <c r="M58" s="2">
        <v>5.8</v>
      </c>
      <c r="N58" s="2">
        <v>2.1</v>
      </c>
    </row>
    <row r="59" spans="1:14" x14ac:dyDescent="0.25">
      <c r="A59">
        <v>2</v>
      </c>
      <c r="B59" t="s">
        <v>16</v>
      </c>
      <c r="C59">
        <v>0.67329501066893505</v>
      </c>
      <c r="D59">
        <v>5.6667793803854899E-3</v>
      </c>
      <c r="E59">
        <v>0.321038209950679</v>
      </c>
      <c r="F59">
        <v>0</v>
      </c>
      <c r="G59">
        <v>-1.48901355346549</v>
      </c>
      <c r="H59">
        <v>-2.0744356825170298</v>
      </c>
      <c r="I59">
        <v>0.5</v>
      </c>
      <c r="J59" s="2">
        <v>19.7</v>
      </c>
      <c r="K59" s="2">
        <v>1.4</v>
      </c>
      <c r="L59" s="2">
        <v>10.3</v>
      </c>
      <c r="M59" s="2">
        <v>66.7</v>
      </c>
      <c r="N59" s="2">
        <v>1.8</v>
      </c>
    </row>
    <row r="60" spans="1:14" x14ac:dyDescent="0.25">
      <c r="A60">
        <v>3</v>
      </c>
      <c r="B60" t="s">
        <v>17</v>
      </c>
      <c r="C60">
        <v>2.2299433987198199E-2</v>
      </c>
      <c r="D60">
        <v>0.44649680698795902</v>
      </c>
      <c r="E60">
        <v>0.53087943238650404</v>
      </c>
      <c r="F60">
        <v>3.2432663833810801E-4</v>
      </c>
      <c r="G60">
        <v>3.95014528912353E-2</v>
      </c>
      <c r="H60">
        <v>0.16575397399428801</v>
      </c>
      <c r="I60">
        <v>0.5</v>
      </c>
      <c r="J60" s="3">
        <v>70.400000000000006</v>
      </c>
      <c r="K60" s="3">
        <v>9.9</v>
      </c>
      <c r="L60" s="3">
        <v>13.2</v>
      </c>
      <c r="M60" s="3">
        <v>3.9</v>
      </c>
      <c r="N60" s="3">
        <v>2.6</v>
      </c>
    </row>
    <row r="61" spans="1:14" x14ac:dyDescent="0.25">
      <c r="A61">
        <v>4</v>
      </c>
      <c r="B61" t="s">
        <v>18</v>
      </c>
      <c r="C61">
        <v>7.0708867001046796E-2</v>
      </c>
      <c r="D61">
        <v>0.42653135184144902</v>
      </c>
      <c r="E61">
        <v>0.50121721370554295</v>
      </c>
      <c r="F61">
        <v>1.54256745196149E-3</v>
      </c>
      <c r="G61">
        <v>-0.219400038419792</v>
      </c>
      <c r="H61">
        <v>-7.6147992742301995E-2</v>
      </c>
      <c r="I61">
        <v>0.5</v>
      </c>
      <c r="J61" s="2">
        <v>28.3</v>
      </c>
      <c r="K61" s="2">
        <v>11.4</v>
      </c>
      <c r="L61" s="2">
        <v>8.1</v>
      </c>
      <c r="M61" s="2">
        <v>50.6</v>
      </c>
      <c r="N61" s="2">
        <v>1.6</v>
      </c>
    </row>
    <row r="62" spans="1:14" x14ac:dyDescent="0.25">
      <c r="A62">
        <v>5</v>
      </c>
      <c r="B62" t="s">
        <v>19</v>
      </c>
      <c r="C62">
        <v>0.30873503293003601</v>
      </c>
      <c r="D62">
        <v>0.23877579544959901</v>
      </c>
      <c r="E62">
        <v>0.452489171620365</v>
      </c>
      <c r="F62">
        <v>0</v>
      </c>
      <c r="G62">
        <v>-0.83838782484863394</v>
      </c>
      <c r="H62">
        <v>-0.92684773444703406</v>
      </c>
      <c r="I62">
        <v>0.5</v>
      </c>
      <c r="J62" s="2">
        <v>44.7</v>
      </c>
      <c r="K62" s="2">
        <v>6.5</v>
      </c>
      <c r="L62" s="2">
        <v>30.5</v>
      </c>
      <c r="M62" s="2">
        <v>13.2</v>
      </c>
      <c r="N62" s="2">
        <v>5.2</v>
      </c>
    </row>
    <row r="63" spans="1:14" x14ac:dyDescent="0.25">
      <c r="A63">
        <v>6</v>
      </c>
      <c r="B63" t="s">
        <v>20</v>
      </c>
      <c r="C63">
        <v>3.0558527085207801E-2</v>
      </c>
      <c r="D63">
        <v>0.71844426012819396</v>
      </c>
      <c r="E63">
        <v>0.247009240887336</v>
      </c>
      <c r="F63">
        <v>3.9879718992617197E-3</v>
      </c>
      <c r="G63">
        <v>1.1278638858897201</v>
      </c>
      <c r="H63">
        <v>1.0091032268294899</v>
      </c>
      <c r="I63">
        <v>0.5</v>
      </c>
      <c r="J63" s="2">
        <v>61.7</v>
      </c>
      <c r="K63" s="2">
        <v>5.7</v>
      </c>
      <c r="L63" s="2">
        <v>21.7</v>
      </c>
      <c r="M63" s="2">
        <v>2.4</v>
      </c>
      <c r="N63" s="2">
        <v>3.1</v>
      </c>
    </row>
    <row r="64" spans="1:14" x14ac:dyDescent="0.25">
      <c r="A64">
        <v>7</v>
      </c>
      <c r="B64" t="s">
        <v>21</v>
      </c>
      <c r="C64">
        <v>3.0312368083723101E-3</v>
      </c>
      <c r="D64">
        <v>0.81449516576653702</v>
      </c>
      <c r="E64">
        <v>0.180628097768496</v>
      </c>
      <c r="F64">
        <v>1.84549965659506E-3</v>
      </c>
      <c r="G64">
        <v>1.2077891988765399</v>
      </c>
      <c r="H64">
        <v>1.4455660745841401</v>
      </c>
      <c r="I64">
        <v>0.5</v>
      </c>
      <c r="J64" s="2">
        <v>42.3</v>
      </c>
      <c r="K64" s="2">
        <v>10.7</v>
      </c>
      <c r="L64" s="2">
        <v>41.5</v>
      </c>
      <c r="M64" s="2">
        <v>3.1</v>
      </c>
      <c r="N64" s="2">
        <v>2.2999999999999998</v>
      </c>
    </row>
    <row r="65" spans="1:14" x14ac:dyDescent="0.25">
      <c r="A65">
        <v>8</v>
      </c>
      <c r="B65" t="s">
        <v>22</v>
      </c>
      <c r="C65">
        <v>2.9281559182344999E-2</v>
      </c>
      <c r="D65">
        <v>0.64836201451389996</v>
      </c>
      <c r="E65">
        <v>0.315437361570436</v>
      </c>
      <c r="F65">
        <v>6.9190647333187997E-3</v>
      </c>
      <c r="G65">
        <v>0.37924654828637999</v>
      </c>
      <c r="H65">
        <v>0.57227909646839403</v>
      </c>
      <c r="I65">
        <v>0.5</v>
      </c>
      <c r="J65" s="5">
        <v>56</v>
      </c>
      <c r="K65" s="5">
        <v>10</v>
      </c>
      <c r="L65" s="2">
        <v>26.6</v>
      </c>
      <c r="M65" s="2">
        <v>4.4000000000000004</v>
      </c>
      <c r="N65" s="2">
        <v>3.1</v>
      </c>
    </row>
    <row r="66" spans="1:14" x14ac:dyDescent="0.25">
      <c r="A66">
        <v>9</v>
      </c>
      <c r="B66" t="s">
        <v>23</v>
      </c>
      <c r="C66">
        <v>7.7088820162017499E-2</v>
      </c>
      <c r="D66">
        <v>0.44091363002429002</v>
      </c>
      <c r="E66">
        <v>0.48195091997047201</v>
      </c>
      <c r="F66">
        <v>4.6629843220777799E-5</v>
      </c>
      <c r="G66">
        <v>-9.4406020037239094E-2</v>
      </c>
      <c r="H66">
        <v>7.1198295306388895E-2</v>
      </c>
      <c r="I66">
        <v>0.5</v>
      </c>
      <c r="J66" s="2">
        <v>59.2</v>
      </c>
      <c r="K66" s="2">
        <v>7.8</v>
      </c>
      <c r="L66" s="2">
        <v>27.7</v>
      </c>
      <c r="M66" s="2">
        <v>2.9</v>
      </c>
      <c r="N66" s="2">
        <v>2.4</v>
      </c>
    </row>
    <row r="67" spans="1:14" x14ac:dyDescent="0.25">
      <c r="A67">
        <v>10</v>
      </c>
      <c r="B67" t="s">
        <v>24</v>
      </c>
      <c r="C67">
        <v>2.52887999153425E-2</v>
      </c>
      <c r="D67">
        <v>0.55969765445738495</v>
      </c>
      <c r="E67">
        <v>0.41485764353552801</v>
      </c>
      <c r="F67">
        <v>1.5590209174446199E-4</v>
      </c>
      <c r="G67">
        <v>0.26667573783169701</v>
      </c>
      <c r="H67">
        <v>0.408498823114053</v>
      </c>
      <c r="I67">
        <v>0.5</v>
      </c>
      <c r="J67" s="2">
        <v>59.3</v>
      </c>
      <c r="K67" s="5">
        <v>9</v>
      </c>
      <c r="L67" s="2">
        <v>25.2</v>
      </c>
      <c r="M67" s="2">
        <v>3.1</v>
      </c>
      <c r="N67" s="2">
        <v>3.4</v>
      </c>
    </row>
    <row r="68" spans="1:14" x14ac:dyDescent="0.25">
      <c r="A68">
        <v>11</v>
      </c>
      <c r="B68" t="s">
        <v>25</v>
      </c>
      <c r="C68">
        <v>0.152513445947456</v>
      </c>
      <c r="D68">
        <v>0.23814138699083701</v>
      </c>
      <c r="E68">
        <v>0.60929167272752605</v>
      </c>
      <c r="F68">
        <v>5.3494334180571297E-5</v>
      </c>
      <c r="G68">
        <v>-0.52949931716148502</v>
      </c>
      <c r="H68">
        <v>-0.68325783797914097</v>
      </c>
      <c r="I68">
        <v>0.5</v>
      </c>
      <c r="J68" s="3">
        <v>55.4</v>
      </c>
      <c r="K68" s="3">
        <v>4.5</v>
      </c>
      <c r="L68" s="3">
        <v>30.8</v>
      </c>
      <c r="M68" s="4">
        <v>4</v>
      </c>
      <c r="N68" s="3">
        <v>5.3</v>
      </c>
    </row>
    <row r="69" spans="1:14" x14ac:dyDescent="0.25">
      <c r="A69">
        <v>12</v>
      </c>
      <c r="B69" t="s">
        <v>26</v>
      </c>
      <c r="C69">
        <v>0.11311915183098201</v>
      </c>
      <c r="D69">
        <v>0.181529280389716</v>
      </c>
      <c r="E69">
        <v>0.70535156777930197</v>
      </c>
      <c r="F69">
        <v>0</v>
      </c>
      <c r="G69">
        <v>-1.07589491851161</v>
      </c>
      <c r="H69">
        <v>-1.01293757538559</v>
      </c>
      <c r="I69">
        <v>0.5</v>
      </c>
      <c r="J69" s="2">
        <v>41.8</v>
      </c>
      <c r="K69" s="2">
        <v>6.7</v>
      </c>
      <c r="L69" s="5">
        <v>21</v>
      </c>
      <c r="M69" s="5">
        <v>22</v>
      </c>
      <c r="N69" s="2">
        <v>2.2000000000000002</v>
      </c>
    </row>
    <row r="70" spans="1:14" x14ac:dyDescent="0.25">
      <c r="A70">
        <v>13</v>
      </c>
      <c r="B70" t="s">
        <v>27</v>
      </c>
      <c r="C70">
        <v>5.8743057389236096E-3</v>
      </c>
      <c r="D70">
        <v>0.43723389214234998</v>
      </c>
      <c r="E70">
        <v>0.55674073194146501</v>
      </c>
      <c r="F70">
        <v>1.51070177262131E-4</v>
      </c>
      <c r="G70">
        <v>-0.426581499563981</v>
      </c>
      <c r="H70">
        <v>0.11565391582760701</v>
      </c>
      <c r="I70">
        <v>0.5</v>
      </c>
      <c r="J70" s="2">
        <v>53.5</v>
      </c>
      <c r="K70" s="2">
        <v>16.600000000000001</v>
      </c>
      <c r="L70" s="2">
        <v>20.8</v>
      </c>
      <c r="M70" s="2">
        <v>4.8</v>
      </c>
      <c r="N70" s="2">
        <v>4.3</v>
      </c>
    </row>
    <row r="71" spans="1:14" x14ac:dyDescent="0.25">
      <c r="A71">
        <v>14</v>
      </c>
      <c r="B71" t="s">
        <v>28</v>
      </c>
      <c r="C71">
        <v>9.35906161883127E-2</v>
      </c>
      <c r="D71">
        <v>0.28748783016402002</v>
      </c>
      <c r="E71">
        <v>0.61892155364766799</v>
      </c>
      <c r="F71">
        <v>0</v>
      </c>
      <c r="G71">
        <v>-0.604146251780599</v>
      </c>
      <c r="H71">
        <v>-0.55722886713625897</v>
      </c>
      <c r="I71">
        <v>0.5</v>
      </c>
      <c r="J71" s="5">
        <v>44</v>
      </c>
      <c r="K71" s="2">
        <v>5.8</v>
      </c>
      <c r="L71" s="2">
        <v>37.9</v>
      </c>
      <c r="M71" s="2">
        <v>5.2</v>
      </c>
      <c r="N71" s="2">
        <v>7.2</v>
      </c>
    </row>
    <row r="72" spans="1:14" x14ac:dyDescent="0.25">
      <c r="A72">
        <v>1</v>
      </c>
      <c r="B72" t="s">
        <v>15</v>
      </c>
      <c r="C72">
        <v>5.7776262286214101E-3</v>
      </c>
      <c r="D72">
        <v>0.85981376803325604</v>
      </c>
      <c r="E72">
        <v>0.134330977574358</v>
      </c>
      <c r="F72">
        <v>7.7628163764730193E-5</v>
      </c>
      <c r="G72">
        <v>2.2562526000132599</v>
      </c>
      <c r="H72">
        <v>1.54280228408299</v>
      </c>
      <c r="I72">
        <v>0.6</v>
      </c>
      <c r="J72" s="2">
        <v>57.4</v>
      </c>
      <c r="K72" s="2">
        <v>12.2</v>
      </c>
      <c r="L72" s="2">
        <v>22.4</v>
      </c>
      <c r="M72" s="2">
        <v>5.9</v>
      </c>
      <c r="N72" s="2">
        <v>2.2000000000000002</v>
      </c>
    </row>
    <row r="73" spans="1:14" x14ac:dyDescent="0.25">
      <c r="A73">
        <v>2</v>
      </c>
      <c r="B73" t="s">
        <v>16</v>
      </c>
      <c r="C73">
        <v>0.67329501066893505</v>
      </c>
      <c r="D73">
        <v>5.6667793803854899E-3</v>
      </c>
      <c r="E73">
        <v>0.321038209950679</v>
      </c>
      <c r="F73">
        <v>0</v>
      </c>
      <c r="G73">
        <v>-1.48901355346549</v>
      </c>
      <c r="H73">
        <v>-2.0744356825170298</v>
      </c>
      <c r="I73">
        <v>0.6</v>
      </c>
      <c r="J73" s="2">
        <v>18.8</v>
      </c>
      <c r="K73" s="2">
        <v>1.6</v>
      </c>
      <c r="L73" s="2">
        <v>9.3000000000000007</v>
      </c>
      <c r="M73" s="2">
        <v>68.5</v>
      </c>
      <c r="N73" s="2">
        <v>1.8</v>
      </c>
    </row>
    <row r="74" spans="1:14" x14ac:dyDescent="0.25">
      <c r="A74">
        <v>3</v>
      </c>
      <c r="B74" t="s">
        <v>17</v>
      </c>
      <c r="C74">
        <v>2.2299433987198199E-2</v>
      </c>
      <c r="D74">
        <v>0.44649680698795902</v>
      </c>
      <c r="E74">
        <v>0.53087943238650404</v>
      </c>
      <c r="F74">
        <v>3.2432663833810801E-4</v>
      </c>
      <c r="G74">
        <v>3.95014528912353E-2</v>
      </c>
      <c r="H74">
        <v>0.16575397399428801</v>
      </c>
      <c r="I74">
        <v>0.6</v>
      </c>
      <c r="J74" s="3">
        <v>72.099999999999994</v>
      </c>
      <c r="K74" s="3">
        <v>11.6</v>
      </c>
      <c r="L74" s="3">
        <v>9.8000000000000007</v>
      </c>
      <c r="M74" s="3">
        <v>3.9</v>
      </c>
      <c r="N74" s="3">
        <v>2.6</v>
      </c>
    </row>
    <row r="75" spans="1:14" x14ac:dyDescent="0.25">
      <c r="A75">
        <v>4</v>
      </c>
      <c r="B75" t="s">
        <v>18</v>
      </c>
      <c r="C75">
        <v>7.0708867001046796E-2</v>
      </c>
      <c r="D75">
        <v>0.42653135184144902</v>
      </c>
      <c r="E75">
        <v>0.50121721370554295</v>
      </c>
      <c r="F75">
        <v>1.54256745196149E-3</v>
      </c>
      <c r="G75">
        <v>-0.219400038419792</v>
      </c>
      <c r="H75">
        <v>-7.6147992742301995E-2</v>
      </c>
      <c r="I75">
        <v>0.6</v>
      </c>
      <c r="J75" s="2">
        <v>26.7</v>
      </c>
      <c r="K75" s="2">
        <v>12.4</v>
      </c>
      <c r="L75" s="2">
        <v>7.3</v>
      </c>
      <c r="M75" s="2">
        <v>52.1</v>
      </c>
      <c r="N75" s="2">
        <v>1.6</v>
      </c>
    </row>
    <row r="76" spans="1:14" x14ac:dyDescent="0.25">
      <c r="A76">
        <v>5</v>
      </c>
      <c r="B76" t="s">
        <v>19</v>
      </c>
      <c r="C76">
        <v>0.30873503293003601</v>
      </c>
      <c r="D76">
        <v>0.23877579544959901</v>
      </c>
      <c r="E76">
        <v>0.452489171620365</v>
      </c>
      <c r="F76">
        <v>0</v>
      </c>
      <c r="G76">
        <v>-0.83838782484863394</v>
      </c>
      <c r="H76">
        <v>-0.92684773444703406</v>
      </c>
      <c r="I76">
        <v>0.6</v>
      </c>
      <c r="J76" s="2">
        <v>45.3</v>
      </c>
      <c r="K76" s="2">
        <v>7.6</v>
      </c>
      <c r="L76" s="2">
        <v>27.9</v>
      </c>
      <c r="M76" s="2">
        <v>13.7</v>
      </c>
      <c r="N76" s="2">
        <v>5.4</v>
      </c>
    </row>
    <row r="77" spans="1:14" x14ac:dyDescent="0.25">
      <c r="A77">
        <v>6</v>
      </c>
      <c r="B77" t="s">
        <v>20</v>
      </c>
      <c r="C77">
        <v>3.0558527085207801E-2</v>
      </c>
      <c r="D77">
        <v>0.71844426012819396</v>
      </c>
      <c r="E77">
        <v>0.247009240887336</v>
      </c>
      <c r="F77">
        <v>3.9879718992617197E-3</v>
      </c>
      <c r="G77">
        <v>1.1278638858897201</v>
      </c>
      <c r="H77">
        <v>1.0091032268294899</v>
      </c>
      <c r="I77">
        <v>0.6</v>
      </c>
      <c r="J77" s="2">
        <v>68.099999999999994</v>
      </c>
      <c r="K77" s="2">
        <v>6.1</v>
      </c>
      <c r="L77" s="2">
        <v>20</v>
      </c>
      <c r="M77" s="2">
        <v>2.5</v>
      </c>
      <c r="N77" s="2">
        <v>3.3</v>
      </c>
    </row>
    <row r="78" spans="1:14" x14ac:dyDescent="0.25">
      <c r="A78">
        <v>7</v>
      </c>
      <c r="B78" t="s">
        <v>21</v>
      </c>
      <c r="C78">
        <v>3.0312368083723101E-3</v>
      </c>
      <c r="D78">
        <v>0.81449516576653702</v>
      </c>
      <c r="E78">
        <v>0.180628097768496</v>
      </c>
      <c r="F78">
        <v>1.84549965659506E-3</v>
      </c>
      <c r="G78">
        <v>1.2077891988765399</v>
      </c>
      <c r="H78">
        <v>1.4455660745841401</v>
      </c>
      <c r="I78">
        <v>0.6</v>
      </c>
      <c r="J78" s="2">
        <v>40.6</v>
      </c>
      <c r="K78" s="2">
        <v>12.2</v>
      </c>
      <c r="L78" s="2">
        <v>41</v>
      </c>
      <c r="M78" s="2">
        <v>3.8</v>
      </c>
      <c r="N78" s="2">
        <v>2.5</v>
      </c>
    </row>
    <row r="79" spans="1:14" x14ac:dyDescent="0.25">
      <c r="A79">
        <v>8</v>
      </c>
      <c r="B79" t="s">
        <v>22</v>
      </c>
      <c r="C79">
        <v>2.9281559182344999E-2</v>
      </c>
      <c r="D79">
        <v>0.64836201451389996</v>
      </c>
      <c r="E79">
        <v>0.315437361570436</v>
      </c>
      <c r="F79">
        <v>6.9190647333187997E-3</v>
      </c>
      <c r="G79">
        <v>0.37924654828637999</v>
      </c>
      <c r="H79">
        <v>0.57227909646839403</v>
      </c>
      <c r="I79">
        <v>0.6</v>
      </c>
      <c r="J79" s="2">
        <v>60.6</v>
      </c>
      <c r="K79" s="2">
        <v>10.6</v>
      </c>
      <c r="L79" s="2">
        <v>20.8</v>
      </c>
      <c r="M79" s="2">
        <v>4.7</v>
      </c>
      <c r="N79" s="2">
        <v>3.3</v>
      </c>
    </row>
    <row r="80" spans="1:14" x14ac:dyDescent="0.25">
      <c r="A80">
        <v>9</v>
      </c>
      <c r="B80" t="s">
        <v>23</v>
      </c>
      <c r="C80">
        <v>7.7088820162017499E-2</v>
      </c>
      <c r="D80">
        <v>0.44091363002429002</v>
      </c>
      <c r="E80">
        <v>0.48195091997047201</v>
      </c>
      <c r="F80">
        <v>4.6629843220777799E-5</v>
      </c>
      <c r="G80">
        <v>-9.4406020037239094E-2</v>
      </c>
      <c r="H80">
        <v>7.1198295306388895E-2</v>
      </c>
      <c r="I80">
        <v>0.6</v>
      </c>
      <c r="J80" s="2">
        <v>60.2</v>
      </c>
      <c r="K80" s="2">
        <v>8.5</v>
      </c>
      <c r="L80" s="2">
        <v>25.8</v>
      </c>
      <c r="M80" s="2">
        <v>3.1</v>
      </c>
      <c r="N80" s="2">
        <v>2.5</v>
      </c>
    </row>
    <row r="81" spans="1:14" x14ac:dyDescent="0.25">
      <c r="A81">
        <v>10</v>
      </c>
      <c r="B81" t="s">
        <v>24</v>
      </c>
      <c r="C81">
        <v>2.52887999153425E-2</v>
      </c>
      <c r="D81">
        <v>0.55969765445738495</v>
      </c>
      <c r="E81">
        <v>0.41485764353552801</v>
      </c>
      <c r="F81">
        <v>1.5590209174446199E-4</v>
      </c>
      <c r="G81">
        <v>0.26667573783169701</v>
      </c>
      <c r="H81">
        <v>0.408498823114053</v>
      </c>
      <c r="I81">
        <v>0.6</v>
      </c>
      <c r="J81" s="2">
        <v>59.4</v>
      </c>
      <c r="K81" s="2">
        <v>10.199999999999999</v>
      </c>
      <c r="L81" s="2">
        <v>23.6</v>
      </c>
      <c r="M81" s="2">
        <v>3.2</v>
      </c>
      <c r="N81" s="2">
        <v>3.5</v>
      </c>
    </row>
    <row r="82" spans="1:14" x14ac:dyDescent="0.25">
      <c r="A82">
        <v>11</v>
      </c>
      <c r="B82" t="s">
        <v>25</v>
      </c>
      <c r="C82">
        <v>0.152513445947456</v>
      </c>
      <c r="D82">
        <v>0.23814138699083701</v>
      </c>
      <c r="E82">
        <v>0.60929167272752605</v>
      </c>
      <c r="F82">
        <v>5.3494334180571297E-5</v>
      </c>
      <c r="G82">
        <v>-0.52949931716148502</v>
      </c>
      <c r="H82">
        <v>-0.68325783797914097</v>
      </c>
      <c r="I82">
        <v>0.6</v>
      </c>
      <c r="J82" s="3">
        <v>58.3</v>
      </c>
      <c r="K82" s="3">
        <v>5.6</v>
      </c>
      <c r="L82" s="3">
        <v>25.9</v>
      </c>
      <c r="M82" s="3">
        <v>4.5999999999999996</v>
      </c>
      <c r="N82" s="3">
        <v>5.6</v>
      </c>
    </row>
    <row r="83" spans="1:14" x14ac:dyDescent="0.25">
      <c r="A83">
        <v>12</v>
      </c>
      <c r="B83" t="s">
        <v>26</v>
      </c>
      <c r="C83">
        <v>0.11311915183098201</v>
      </c>
      <c r="D83">
        <v>0.181529280389716</v>
      </c>
      <c r="E83">
        <v>0.70535156777930197</v>
      </c>
      <c r="F83">
        <v>0</v>
      </c>
      <c r="G83">
        <v>-1.07589491851161</v>
      </c>
      <c r="H83">
        <v>-1.01293757538559</v>
      </c>
      <c r="I83">
        <v>0.6</v>
      </c>
      <c r="J83" s="2">
        <v>48</v>
      </c>
      <c r="K83" s="2">
        <v>6.8</v>
      </c>
      <c r="L83" s="2">
        <v>19.7</v>
      </c>
      <c r="M83" s="2">
        <v>23.2</v>
      </c>
      <c r="N83" s="2">
        <v>2.2999999999999998</v>
      </c>
    </row>
    <row r="84" spans="1:14" x14ac:dyDescent="0.25">
      <c r="A84">
        <v>13</v>
      </c>
      <c r="B84" t="s">
        <v>27</v>
      </c>
      <c r="C84">
        <v>5.8743057389236096E-3</v>
      </c>
      <c r="D84">
        <v>0.43723389214234998</v>
      </c>
      <c r="E84">
        <v>0.55674073194146501</v>
      </c>
      <c r="F84">
        <v>1.51070177262131E-4</v>
      </c>
      <c r="G84">
        <v>-0.426581499563981</v>
      </c>
      <c r="H84">
        <v>0.11565391582760701</v>
      </c>
      <c r="I84">
        <v>0.6</v>
      </c>
      <c r="J84" s="2">
        <v>53.9</v>
      </c>
      <c r="K84" s="2">
        <v>17.8</v>
      </c>
      <c r="L84" s="2">
        <v>19</v>
      </c>
      <c r="M84" s="2">
        <v>5</v>
      </c>
      <c r="N84" s="2">
        <v>4.3</v>
      </c>
    </row>
    <row r="85" spans="1:14" x14ac:dyDescent="0.25">
      <c r="A85">
        <v>14</v>
      </c>
      <c r="B85" t="s">
        <v>28</v>
      </c>
      <c r="C85">
        <v>9.35906161883127E-2</v>
      </c>
      <c r="D85">
        <v>0.28748783016402002</v>
      </c>
      <c r="E85">
        <v>0.61892155364766799</v>
      </c>
      <c r="F85">
        <v>0</v>
      </c>
      <c r="G85">
        <v>-0.604146251780599</v>
      </c>
      <c r="H85">
        <v>-0.55722886713625897</v>
      </c>
      <c r="I85">
        <v>0.6</v>
      </c>
      <c r="J85" s="2">
        <v>44.7</v>
      </c>
      <c r="K85" s="2">
        <v>6.1</v>
      </c>
      <c r="L85" s="2">
        <v>35.700000000000003</v>
      </c>
      <c r="M85" s="2">
        <v>5.6</v>
      </c>
      <c r="N85" s="2">
        <v>7.9</v>
      </c>
    </row>
    <row r="86" spans="1:14" x14ac:dyDescent="0.25">
      <c r="A86">
        <v>1</v>
      </c>
      <c r="B86" t="s">
        <v>15</v>
      </c>
      <c r="C86">
        <v>5.7776262286214101E-3</v>
      </c>
      <c r="D86">
        <v>0.85981376803325604</v>
      </c>
      <c r="E86">
        <v>0.134330977574358</v>
      </c>
      <c r="F86">
        <v>7.7628163764730193E-5</v>
      </c>
      <c r="G86">
        <v>2.2562526000132599</v>
      </c>
      <c r="H86">
        <v>1.54280228408299</v>
      </c>
      <c r="I86">
        <v>0.7</v>
      </c>
      <c r="J86" s="2">
        <v>59.2</v>
      </c>
      <c r="K86" s="2">
        <v>11.5</v>
      </c>
      <c r="L86" s="2">
        <v>20</v>
      </c>
      <c r="M86" s="2">
        <v>4.0999999999999996</v>
      </c>
      <c r="N86" s="2">
        <v>5.2</v>
      </c>
    </row>
    <row r="87" spans="1:14" x14ac:dyDescent="0.25">
      <c r="A87">
        <v>2</v>
      </c>
      <c r="B87" t="s">
        <v>16</v>
      </c>
      <c r="C87">
        <v>0.67329501066893505</v>
      </c>
      <c r="D87">
        <v>5.6667793803854899E-3</v>
      </c>
      <c r="E87">
        <v>0.321038209950679</v>
      </c>
      <c r="F87">
        <v>0</v>
      </c>
      <c r="G87">
        <v>-1.48901355346549</v>
      </c>
      <c r="H87">
        <v>-2.0744356825170298</v>
      </c>
      <c r="I87">
        <v>0.7</v>
      </c>
      <c r="J87" s="2">
        <v>21.8</v>
      </c>
      <c r="K87" s="2">
        <v>1.4</v>
      </c>
      <c r="L87" s="2">
        <v>9.6999999999999993</v>
      </c>
      <c r="M87" s="2">
        <v>64.099999999999994</v>
      </c>
      <c r="N87" s="2">
        <v>3</v>
      </c>
    </row>
    <row r="88" spans="1:14" x14ac:dyDescent="0.25">
      <c r="A88">
        <v>3</v>
      </c>
      <c r="B88" t="s">
        <v>17</v>
      </c>
      <c r="C88">
        <v>2.2299433987198199E-2</v>
      </c>
      <c r="D88">
        <v>0.44649680698795902</v>
      </c>
      <c r="E88">
        <v>0.53087943238650404</v>
      </c>
      <c r="F88">
        <v>3.2432663833810801E-4</v>
      </c>
      <c r="G88">
        <v>3.95014528912353E-2</v>
      </c>
      <c r="H88">
        <v>0.16575397399428801</v>
      </c>
      <c r="I88">
        <v>0.7</v>
      </c>
      <c r="J88" s="3">
        <v>74.099999999999994</v>
      </c>
      <c r="K88" s="3">
        <v>9.6</v>
      </c>
      <c r="L88" s="3">
        <v>10</v>
      </c>
      <c r="M88" s="3">
        <v>2.5</v>
      </c>
      <c r="N88" s="3">
        <v>3.8</v>
      </c>
    </row>
    <row r="89" spans="1:14" x14ac:dyDescent="0.25">
      <c r="A89">
        <v>4</v>
      </c>
      <c r="B89" t="s">
        <v>18</v>
      </c>
      <c r="C89">
        <v>7.0708867001046796E-2</v>
      </c>
      <c r="D89">
        <v>0.42653135184144902</v>
      </c>
      <c r="E89">
        <v>0.50121721370554295</v>
      </c>
      <c r="F89">
        <v>1.54256745196149E-3</v>
      </c>
      <c r="G89">
        <v>-0.219400038419792</v>
      </c>
      <c r="H89">
        <v>-7.6147992742301995E-2</v>
      </c>
      <c r="I89">
        <v>0.7</v>
      </c>
      <c r="J89" s="2">
        <v>28.2</v>
      </c>
      <c r="K89" s="2">
        <v>13.3</v>
      </c>
      <c r="L89" s="2">
        <v>7.5</v>
      </c>
      <c r="M89" s="2">
        <v>46</v>
      </c>
      <c r="N89" s="2">
        <v>5</v>
      </c>
    </row>
    <row r="90" spans="1:14" x14ac:dyDescent="0.25">
      <c r="A90">
        <v>5</v>
      </c>
      <c r="B90" t="s">
        <v>19</v>
      </c>
      <c r="C90">
        <v>0.30873503293003601</v>
      </c>
      <c r="D90">
        <v>0.23877579544959901</v>
      </c>
      <c r="E90">
        <v>0.452489171620365</v>
      </c>
      <c r="F90">
        <v>0</v>
      </c>
      <c r="G90">
        <v>-0.83838782484863394</v>
      </c>
      <c r="H90">
        <v>-0.92684773444703406</v>
      </c>
      <c r="I90">
        <v>0.7</v>
      </c>
      <c r="J90" s="2">
        <v>48.3</v>
      </c>
      <c r="K90" s="2">
        <v>6.9</v>
      </c>
      <c r="L90" s="2">
        <v>27.8</v>
      </c>
      <c r="M90" s="2">
        <v>11.2</v>
      </c>
      <c r="N90" s="2">
        <v>5.9</v>
      </c>
    </row>
    <row r="91" spans="1:14" x14ac:dyDescent="0.25">
      <c r="A91">
        <v>6</v>
      </c>
      <c r="B91" t="s">
        <v>20</v>
      </c>
      <c r="C91">
        <v>3.0558527085207801E-2</v>
      </c>
      <c r="D91">
        <v>0.71844426012819396</v>
      </c>
      <c r="E91">
        <v>0.247009240887336</v>
      </c>
      <c r="F91">
        <v>3.9879718992617197E-3</v>
      </c>
      <c r="G91">
        <v>1.1278638858897201</v>
      </c>
      <c r="H91">
        <v>1.0091032268294899</v>
      </c>
      <c r="I91">
        <v>0.7</v>
      </c>
      <c r="J91" s="2">
        <v>72.2</v>
      </c>
      <c r="K91" s="2">
        <v>4</v>
      </c>
      <c r="L91" s="2">
        <v>18.3</v>
      </c>
      <c r="M91" s="2">
        <v>1.8</v>
      </c>
      <c r="N91" s="2">
        <v>3.7</v>
      </c>
    </row>
    <row r="92" spans="1:14" x14ac:dyDescent="0.25">
      <c r="A92">
        <v>7</v>
      </c>
      <c r="B92" t="s">
        <v>21</v>
      </c>
      <c r="C92">
        <v>3.0312368083723101E-3</v>
      </c>
      <c r="D92">
        <v>0.81449516576653702</v>
      </c>
      <c r="E92">
        <v>0.180628097768496</v>
      </c>
      <c r="F92">
        <v>1.84549965659506E-3</v>
      </c>
      <c r="G92">
        <v>1.2077891988765399</v>
      </c>
      <c r="H92">
        <v>1.4455660745841401</v>
      </c>
      <c r="I92">
        <v>0.7</v>
      </c>
      <c r="J92" s="2">
        <v>45.1</v>
      </c>
      <c r="K92" s="2">
        <v>10.7</v>
      </c>
      <c r="L92" s="2">
        <v>36.9</v>
      </c>
      <c r="M92" s="2">
        <v>2.9</v>
      </c>
      <c r="N92" s="2">
        <v>4.4000000000000004</v>
      </c>
    </row>
    <row r="93" spans="1:14" x14ac:dyDescent="0.25">
      <c r="A93">
        <v>8</v>
      </c>
      <c r="B93" t="s">
        <v>22</v>
      </c>
      <c r="C93">
        <v>2.9281559182344999E-2</v>
      </c>
      <c r="D93">
        <v>0.64836201451389996</v>
      </c>
      <c r="E93">
        <v>0.315437361570436</v>
      </c>
      <c r="F93">
        <v>6.9190647333187997E-3</v>
      </c>
      <c r="G93">
        <v>0.37924654828637999</v>
      </c>
      <c r="H93">
        <v>0.57227909646839403</v>
      </c>
      <c r="I93">
        <v>0.7</v>
      </c>
      <c r="J93" s="2">
        <v>59.6</v>
      </c>
      <c r="K93" s="2">
        <v>9.1</v>
      </c>
      <c r="L93" s="2">
        <v>20</v>
      </c>
      <c r="M93" s="2">
        <v>3.7</v>
      </c>
      <c r="N93" s="2">
        <v>7.5</v>
      </c>
    </row>
    <row r="94" spans="1:14" x14ac:dyDescent="0.25">
      <c r="A94">
        <v>9</v>
      </c>
      <c r="B94" t="s">
        <v>23</v>
      </c>
      <c r="C94">
        <v>7.7088820162017499E-2</v>
      </c>
      <c r="D94">
        <v>0.44091363002429002</v>
      </c>
      <c r="E94">
        <v>0.48195091997047201</v>
      </c>
      <c r="F94">
        <v>4.6629843220777799E-5</v>
      </c>
      <c r="G94">
        <v>-9.4406020037239094E-2</v>
      </c>
      <c r="H94">
        <v>7.1198295306388895E-2</v>
      </c>
      <c r="I94">
        <v>0.7</v>
      </c>
      <c r="J94" s="2">
        <v>62.7</v>
      </c>
      <c r="K94" s="2">
        <v>9.1</v>
      </c>
      <c r="L94" s="2">
        <v>20.7</v>
      </c>
      <c r="M94" s="2">
        <v>2.8</v>
      </c>
      <c r="N94" s="2">
        <v>4.8</v>
      </c>
    </row>
    <row r="95" spans="1:14" x14ac:dyDescent="0.25">
      <c r="A95">
        <v>10</v>
      </c>
      <c r="B95" t="s">
        <v>24</v>
      </c>
      <c r="C95">
        <v>2.52887999153425E-2</v>
      </c>
      <c r="D95">
        <v>0.55969765445738495</v>
      </c>
      <c r="E95">
        <v>0.41485764353552801</v>
      </c>
      <c r="F95">
        <v>1.5590209174446199E-4</v>
      </c>
      <c r="G95">
        <v>0.26667573783169701</v>
      </c>
      <c r="H95">
        <v>0.408498823114053</v>
      </c>
      <c r="I95">
        <v>0.7</v>
      </c>
      <c r="J95" s="2">
        <v>61.3</v>
      </c>
      <c r="K95" s="2">
        <v>10.4</v>
      </c>
      <c r="L95" s="2">
        <v>21</v>
      </c>
      <c r="M95" s="2">
        <v>2.7</v>
      </c>
      <c r="N95" s="2">
        <v>4.5999999999999996</v>
      </c>
    </row>
    <row r="96" spans="1:14" x14ac:dyDescent="0.25">
      <c r="A96">
        <v>11</v>
      </c>
      <c r="B96" t="s">
        <v>25</v>
      </c>
      <c r="C96">
        <v>0.152513445947456</v>
      </c>
      <c r="D96">
        <v>0.23814138699083701</v>
      </c>
      <c r="E96">
        <v>0.60929167272752605</v>
      </c>
      <c r="F96">
        <v>5.3494334180571297E-5</v>
      </c>
      <c r="G96">
        <v>-0.52949931716148502</v>
      </c>
      <c r="H96">
        <v>-0.68325783797914097</v>
      </c>
      <c r="I96">
        <v>0.7</v>
      </c>
      <c r="J96" s="2">
        <v>66.099999999999994</v>
      </c>
      <c r="K96" s="2">
        <v>5</v>
      </c>
      <c r="L96" s="2">
        <v>22.4</v>
      </c>
      <c r="M96" s="2">
        <v>3.6</v>
      </c>
      <c r="N96" s="2">
        <v>2.8</v>
      </c>
    </row>
    <row r="97" spans="1:14" x14ac:dyDescent="0.25">
      <c r="A97">
        <v>12</v>
      </c>
      <c r="B97" t="s">
        <v>26</v>
      </c>
      <c r="C97">
        <v>0.11311915183098201</v>
      </c>
      <c r="D97">
        <v>0.181529280389716</v>
      </c>
      <c r="E97">
        <v>0.70535156777930197</v>
      </c>
      <c r="F97">
        <v>0</v>
      </c>
      <c r="G97">
        <v>-1.07589491851161</v>
      </c>
      <c r="H97">
        <v>-1.01293757538559</v>
      </c>
      <c r="I97">
        <v>0.7</v>
      </c>
      <c r="J97" s="2">
        <v>51.5</v>
      </c>
      <c r="K97" s="2">
        <v>6.7</v>
      </c>
      <c r="L97" s="2">
        <v>19.2</v>
      </c>
      <c r="M97" s="2">
        <v>17.899999999999999</v>
      </c>
      <c r="N97" s="2">
        <v>4.5999999999999996</v>
      </c>
    </row>
    <row r="98" spans="1:14" x14ac:dyDescent="0.25">
      <c r="A98">
        <v>13</v>
      </c>
      <c r="B98" t="s">
        <v>27</v>
      </c>
      <c r="C98">
        <v>5.8743057389236096E-3</v>
      </c>
      <c r="D98">
        <v>0.43723389214234998</v>
      </c>
      <c r="E98">
        <v>0.55674073194146501</v>
      </c>
      <c r="F98">
        <v>1.51070177262131E-4</v>
      </c>
      <c r="G98">
        <v>-0.426581499563981</v>
      </c>
      <c r="H98">
        <v>0.11565391582760701</v>
      </c>
      <c r="I98">
        <v>0.7</v>
      </c>
      <c r="J98" s="2">
        <v>54.5</v>
      </c>
      <c r="K98" s="2">
        <v>16.8</v>
      </c>
      <c r="L98" s="2">
        <v>19.899999999999999</v>
      </c>
      <c r="M98" s="2">
        <v>4.0999999999999996</v>
      </c>
      <c r="N98" s="2">
        <v>4.7</v>
      </c>
    </row>
    <row r="99" spans="1:14" x14ac:dyDescent="0.25">
      <c r="A99">
        <v>14</v>
      </c>
      <c r="B99" t="s">
        <v>28</v>
      </c>
      <c r="C99">
        <v>9.35906161883127E-2</v>
      </c>
      <c r="D99">
        <v>0.28748783016402002</v>
      </c>
      <c r="E99">
        <v>0.61892155364766799</v>
      </c>
      <c r="F99">
        <v>0</v>
      </c>
      <c r="G99">
        <v>-0.604146251780599</v>
      </c>
      <c r="H99">
        <v>-0.55722886713625897</v>
      </c>
      <c r="I99">
        <v>0.7</v>
      </c>
      <c r="J99" s="2">
        <v>46.5</v>
      </c>
      <c r="K99" s="2">
        <v>4.9000000000000004</v>
      </c>
      <c r="L99" s="2">
        <v>36.4</v>
      </c>
      <c r="M99" s="2">
        <v>4</v>
      </c>
      <c r="N99" s="2">
        <v>8.1</v>
      </c>
    </row>
    <row r="100" spans="1:14" x14ac:dyDescent="0.25">
      <c r="A100">
        <v>1</v>
      </c>
      <c r="B100" t="s">
        <v>15</v>
      </c>
      <c r="C100">
        <v>5.7776262286214101E-3</v>
      </c>
      <c r="D100">
        <v>0.85981376803325604</v>
      </c>
      <c r="E100">
        <v>0.134330977574358</v>
      </c>
      <c r="F100">
        <v>7.7628163764730193E-5</v>
      </c>
      <c r="G100">
        <v>2.2562526000132599</v>
      </c>
      <c r="H100">
        <v>1.54280228408299</v>
      </c>
      <c r="I100">
        <v>0.8</v>
      </c>
      <c r="J100" s="2">
        <v>58.3</v>
      </c>
      <c r="K100" s="2">
        <v>10.9</v>
      </c>
      <c r="L100" s="2">
        <v>22</v>
      </c>
      <c r="M100" s="2">
        <v>3.6</v>
      </c>
      <c r="N100" s="7">
        <v>5.0999999999999996</v>
      </c>
    </row>
    <row r="101" spans="1:14" x14ac:dyDescent="0.25">
      <c r="A101">
        <v>2</v>
      </c>
      <c r="B101" t="s">
        <v>16</v>
      </c>
      <c r="C101">
        <v>0.67329501066893505</v>
      </c>
      <c r="D101">
        <v>5.6667793803854899E-3</v>
      </c>
      <c r="E101">
        <v>0.321038209950679</v>
      </c>
      <c r="F101">
        <v>0</v>
      </c>
      <c r="G101">
        <v>-1.48901355346549</v>
      </c>
      <c r="H101">
        <v>-2.0744356825170298</v>
      </c>
      <c r="I101">
        <v>0.8</v>
      </c>
      <c r="J101" s="2">
        <v>24.3</v>
      </c>
      <c r="K101" s="2">
        <v>1.4</v>
      </c>
      <c r="L101" s="2">
        <v>11.8</v>
      </c>
      <c r="M101" s="2">
        <v>59.2</v>
      </c>
      <c r="N101" s="7">
        <v>3.2</v>
      </c>
    </row>
    <row r="102" spans="1:14" x14ac:dyDescent="0.25">
      <c r="A102">
        <v>3</v>
      </c>
      <c r="B102" t="s">
        <v>17</v>
      </c>
      <c r="C102">
        <v>2.2299433987198199E-2</v>
      </c>
      <c r="D102">
        <v>0.44649680698795902</v>
      </c>
      <c r="E102">
        <v>0.53087943238650404</v>
      </c>
      <c r="F102">
        <v>3.2432663833810801E-4</v>
      </c>
      <c r="G102">
        <v>3.95014528912353E-2</v>
      </c>
      <c r="H102">
        <v>0.16575397399428801</v>
      </c>
      <c r="I102">
        <v>0.8</v>
      </c>
      <c r="J102" s="2">
        <v>71.3</v>
      </c>
      <c r="K102" s="2">
        <v>10.3</v>
      </c>
      <c r="L102" s="2">
        <v>12.7</v>
      </c>
      <c r="M102" s="2">
        <v>2.1</v>
      </c>
      <c r="N102" s="7">
        <v>3.6</v>
      </c>
    </row>
    <row r="103" spans="1:14" x14ac:dyDescent="0.25">
      <c r="A103">
        <v>4</v>
      </c>
      <c r="B103" t="s">
        <v>18</v>
      </c>
      <c r="C103">
        <v>7.0708867001046796E-2</v>
      </c>
      <c r="D103">
        <v>0.42653135184144902</v>
      </c>
      <c r="E103">
        <v>0.50121721370554295</v>
      </c>
      <c r="F103">
        <v>1.54256745196149E-3</v>
      </c>
      <c r="G103">
        <v>-0.219400038419792</v>
      </c>
      <c r="H103">
        <v>-7.6147992742301995E-2</v>
      </c>
      <c r="I103">
        <v>0.8</v>
      </c>
      <c r="J103" s="2">
        <v>28.8</v>
      </c>
      <c r="K103" s="2">
        <v>12.9</v>
      </c>
      <c r="L103" s="2">
        <v>10</v>
      </c>
      <c r="M103" s="2">
        <v>43</v>
      </c>
      <c r="N103" s="7">
        <v>5.2</v>
      </c>
    </row>
    <row r="104" spans="1:14" x14ac:dyDescent="0.25">
      <c r="A104">
        <v>5</v>
      </c>
      <c r="B104" t="s">
        <v>19</v>
      </c>
      <c r="C104">
        <v>0.30873503293003601</v>
      </c>
      <c r="D104">
        <v>0.23877579544959901</v>
      </c>
      <c r="E104">
        <v>0.452489171620365</v>
      </c>
      <c r="F104">
        <v>0</v>
      </c>
      <c r="G104">
        <v>-0.83838782484863394</v>
      </c>
      <c r="H104">
        <v>-0.92684773444703406</v>
      </c>
      <c r="I104">
        <v>0.8</v>
      </c>
      <c r="J104" s="2">
        <v>48.2</v>
      </c>
      <c r="K104" s="2">
        <v>6.1</v>
      </c>
      <c r="L104" s="2">
        <v>30.6</v>
      </c>
      <c r="M104" s="2">
        <v>9.4</v>
      </c>
      <c r="N104" s="7">
        <v>5.7</v>
      </c>
    </row>
    <row r="105" spans="1:14" x14ac:dyDescent="0.25">
      <c r="A105">
        <v>6</v>
      </c>
      <c r="B105" t="s">
        <v>20</v>
      </c>
      <c r="C105">
        <v>3.0558527085207801E-2</v>
      </c>
      <c r="D105">
        <v>0.71844426012819396</v>
      </c>
      <c r="E105">
        <v>0.247009240887336</v>
      </c>
      <c r="F105">
        <v>3.9879718992617197E-3</v>
      </c>
      <c r="G105">
        <v>1.1278638858897201</v>
      </c>
      <c r="H105">
        <v>1.0091032268294899</v>
      </c>
      <c r="I105">
        <v>0.8</v>
      </c>
      <c r="J105" s="2">
        <v>68</v>
      </c>
      <c r="K105" s="2">
        <v>5.0999999999999996</v>
      </c>
      <c r="L105" s="2">
        <v>21.4</v>
      </c>
      <c r="M105" s="2">
        <v>1.8</v>
      </c>
      <c r="N105" s="7">
        <v>3.8</v>
      </c>
    </row>
    <row r="106" spans="1:14" x14ac:dyDescent="0.25">
      <c r="A106">
        <v>7</v>
      </c>
      <c r="B106" t="s">
        <v>21</v>
      </c>
      <c r="C106">
        <v>3.0312368083723101E-3</v>
      </c>
      <c r="D106">
        <v>0.81449516576653702</v>
      </c>
      <c r="E106">
        <v>0.180628097768496</v>
      </c>
      <c r="F106">
        <v>1.84549965659506E-3</v>
      </c>
      <c r="G106">
        <v>1.2077891988765399</v>
      </c>
      <c r="H106">
        <v>1.4455660745841401</v>
      </c>
      <c r="I106">
        <v>0.8</v>
      </c>
      <c r="J106" s="2">
        <v>46.3</v>
      </c>
      <c r="K106" s="2">
        <v>9.9</v>
      </c>
      <c r="L106" s="2">
        <v>37.299999999999997</v>
      </c>
      <c r="M106" s="2">
        <v>2.2999999999999998</v>
      </c>
      <c r="N106" s="7">
        <v>4.2</v>
      </c>
    </row>
    <row r="107" spans="1:14" x14ac:dyDescent="0.25">
      <c r="A107">
        <v>8</v>
      </c>
      <c r="B107" t="s">
        <v>22</v>
      </c>
      <c r="C107">
        <v>2.9281559182344999E-2</v>
      </c>
      <c r="D107">
        <v>0.64836201451389996</v>
      </c>
      <c r="E107">
        <v>0.315437361570436</v>
      </c>
      <c r="F107">
        <v>6.9190647333187997E-3</v>
      </c>
      <c r="G107">
        <v>0.37924654828637999</v>
      </c>
      <c r="H107">
        <v>0.57227909646839403</v>
      </c>
      <c r="I107">
        <v>0.8</v>
      </c>
      <c r="J107" s="2">
        <v>58</v>
      </c>
      <c r="K107" s="2">
        <v>8.5</v>
      </c>
      <c r="L107" s="2">
        <v>22.7</v>
      </c>
      <c r="M107" s="2">
        <v>3.4</v>
      </c>
      <c r="N107" s="7">
        <v>7.3</v>
      </c>
    </row>
    <row r="108" spans="1:14" x14ac:dyDescent="0.25">
      <c r="A108">
        <v>9</v>
      </c>
      <c r="B108" t="s">
        <v>23</v>
      </c>
      <c r="C108">
        <v>7.7088820162017499E-2</v>
      </c>
      <c r="D108">
        <v>0.44091363002429002</v>
      </c>
      <c r="E108">
        <v>0.48195091997047201</v>
      </c>
      <c r="F108">
        <v>4.6629843220777799E-5</v>
      </c>
      <c r="G108">
        <v>-9.4406020037239094E-2</v>
      </c>
      <c r="H108">
        <v>7.1198295306388895E-2</v>
      </c>
      <c r="I108">
        <v>0.8</v>
      </c>
      <c r="J108" s="2">
        <v>61.1</v>
      </c>
      <c r="K108" s="2">
        <v>9</v>
      </c>
      <c r="L108" s="2">
        <v>22.2</v>
      </c>
      <c r="M108" s="2">
        <v>2.5</v>
      </c>
      <c r="N108" s="7">
        <v>5.4</v>
      </c>
    </row>
    <row r="109" spans="1:14" x14ac:dyDescent="0.25">
      <c r="A109">
        <v>10</v>
      </c>
      <c r="B109" t="s">
        <v>24</v>
      </c>
      <c r="C109">
        <v>2.52887999153425E-2</v>
      </c>
      <c r="D109">
        <v>0.55969765445738495</v>
      </c>
      <c r="E109">
        <v>0.41485764353552801</v>
      </c>
      <c r="F109">
        <v>1.5590209174446199E-4</v>
      </c>
      <c r="G109">
        <v>0.26667573783169701</v>
      </c>
      <c r="H109">
        <v>0.408498823114053</v>
      </c>
      <c r="I109">
        <v>0.8</v>
      </c>
      <c r="J109" s="2">
        <v>60.7</v>
      </c>
      <c r="K109" s="2">
        <v>10</v>
      </c>
      <c r="L109" s="2">
        <v>22.5</v>
      </c>
      <c r="M109" s="2">
        <v>2.2000000000000002</v>
      </c>
      <c r="N109" s="7">
        <v>4.5</v>
      </c>
    </row>
    <row r="110" spans="1:14" x14ac:dyDescent="0.25">
      <c r="A110">
        <v>11</v>
      </c>
      <c r="B110" t="s">
        <v>25</v>
      </c>
      <c r="C110">
        <v>0.152513445947456</v>
      </c>
      <c r="D110">
        <v>0.23814138699083701</v>
      </c>
      <c r="E110">
        <v>0.60929167272752605</v>
      </c>
      <c r="F110">
        <v>5.3494334180571297E-5</v>
      </c>
      <c r="G110">
        <v>-0.52949931716148502</v>
      </c>
      <c r="H110">
        <v>-0.68325783797914097</v>
      </c>
      <c r="I110">
        <v>0.8</v>
      </c>
      <c r="J110" s="2">
        <v>64.900000000000006</v>
      </c>
      <c r="K110" s="2">
        <v>5.3</v>
      </c>
      <c r="L110" s="2">
        <v>23.6</v>
      </c>
      <c r="M110" s="2">
        <v>3.5</v>
      </c>
      <c r="N110" s="7">
        <v>2.7</v>
      </c>
    </row>
    <row r="111" spans="1:14" x14ac:dyDescent="0.25">
      <c r="A111">
        <v>12</v>
      </c>
      <c r="B111" t="s">
        <v>26</v>
      </c>
      <c r="C111">
        <v>0.11311915183098201</v>
      </c>
      <c r="D111">
        <v>0.181529280389716</v>
      </c>
      <c r="E111">
        <v>0.70535156777930197</v>
      </c>
      <c r="F111">
        <v>0</v>
      </c>
      <c r="G111">
        <v>-1.07589491851161</v>
      </c>
      <c r="H111">
        <v>-1.01293757538559</v>
      </c>
      <c r="I111">
        <v>0.8</v>
      </c>
      <c r="J111" s="2">
        <v>50.4</v>
      </c>
      <c r="K111" s="2">
        <v>6.8</v>
      </c>
      <c r="L111" s="2">
        <v>21.7</v>
      </c>
      <c r="M111" s="2">
        <v>16.3</v>
      </c>
      <c r="N111" s="7">
        <v>4.8</v>
      </c>
    </row>
    <row r="112" spans="1:14" x14ac:dyDescent="0.25">
      <c r="A112">
        <v>13</v>
      </c>
      <c r="B112" t="s">
        <v>27</v>
      </c>
      <c r="C112">
        <v>5.8743057389236096E-3</v>
      </c>
      <c r="D112">
        <v>0.43723389214234998</v>
      </c>
      <c r="E112">
        <v>0.55674073194146501</v>
      </c>
      <c r="F112">
        <v>1.51070177262131E-4</v>
      </c>
      <c r="G112">
        <v>-0.426581499563981</v>
      </c>
      <c r="H112">
        <v>0.11565391582760701</v>
      </c>
      <c r="I112">
        <v>0.8</v>
      </c>
      <c r="J112" s="2">
        <v>53.9</v>
      </c>
      <c r="K112" s="2">
        <v>15.8</v>
      </c>
      <c r="L112" s="2">
        <v>22.4</v>
      </c>
      <c r="M112" s="2">
        <v>3.5</v>
      </c>
      <c r="N112" s="7">
        <v>4.4000000000000004</v>
      </c>
    </row>
    <row r="113" spans="1:14" x14ac:dyDescent="0.25">
      <c r="A113">
        <v>14</v>
      </c>
      <c r="B113" t="s">
        <v>28</v>
      </c>
      <c r="C113">
        <v>9.35906161883127E-2</v>
      </c>
      <c r="D113">
        <v>0.28748783016402002</v>
      </c>
      <c r="E113">
        <v>0.61892155364766799</v>
      </c>
      <c r="F113">
        <v>0</v>
      </c>
      <c r="G113">
        <v>-0.604146251780599</v>
      </c>
      <c r="H113">
        <v>-0.55722886713625897</v>
      </c>
      <c r="I113">
        <v>0.8</v>
      </c>
      <c r="J113" s="2">
        <v>44.8</v>
      </c>
      <c r="K113" s="2">
        <v>4.0999999999999996</v>
      </c>
      <c r="L113" s="2">
        <v>39.9</v>
      </c>
      <c r="M113" s="2">
        <v>3.5</v>
      </c>
      <c r="N113" s="7">
        <v>7.7</v>
      </c>
    </row>
    <row r="114" spans="1:14" x14ac:dyDescent="0.25">
      <c r="A114">
        <v>1</v>
      </c>
      <c r="B114" t="s">
        <v>15</v>
      </c>
      <c r="C114">
        <v>5.7776262286214101E-3</v>
      </c>
      <c r="D114">
        <v>0.85981376803325604</v>
      </c>
      <c r="E114">
        <v>0.134330977574358</v>
      </c>
      <c r="F114">
        <v>7.7628163764730193E-5</v>
      </c>
      <c r="G114">
        <v>2.2562526000132599</v>
      </c>
      <c r="H114">
        <v>1.54280228408299</v>
      </c>
      <c r="I114">
        <v>0.9</v>
      </c>
      <c r="J114" s="2">
        <v>59.4</v>
      </c>
      <c r="K114" s="2">
        <v>11.6</v>
      </c>
      <c r="L114" s="2">
        <v>21.2</v>
      </c>
      <c r="M114" s="2">
        <v>2.8</v>
      </c>
      <c r="N114" s="2">
        <v>5.0999999999999996</v>
      </c>
    </row>
    <row r="115" spans="1:14" x14ac:dyDescent="0.25">
      <c r="A115">
        <v>2</v>
      </c>
      <c r="B115" t="s">
        <v>16</v>
      </c>
      <c r="C115">
        <v>0.67329501066893505</v>
      </c>
      <c r="D115">
        <v>5.6667793803854899E-3</v>
      </c>
      <c r="E115">
        <v>0.321038209950679</v>
      </c>
      <c r="F115">
        <v>0</v>
      </c>
      <c r="G115">
        <v>-1.48901355346549</v>
      </c>
      <c r="H115">
        <v>-2.0744356825170298</v>
      </c>
      <c r="I115">
        <v>0.9</v>
      </c>
      <c r="J115" s="2">
        <v>25.9</v>
      </c>
      <c r="K115" s="2">
        <v>1.9</v>
      </c>
      <c r="L115" s="2">
        <v>10.5</v>
      </c>
      <c r="M115" s="2">
        <v>58.4</v>
      </c>
      <c r="N115" s="2">
        <v>3.3</v>
      </c>
    </row>
    <row r="116" spans="1:14" x14ac:dyDescent="0.25">
      <c r="A116">
        <v>3</v>
      </c>
      <c r="B116" t="s">
        <v>17</v>
      </c>
      <c r="C116">
        <v>2.2299433987198199E-2</v>
      </c>
      <c r="D116">
        <v>0.44649680698795902</v>
      </c>
      <c r="E116">
        <v>0.53087943238650404</v>
      </c>
      <c r="F116">
        <v>3.2432663833810801E-4</v>
      </c>
      <c r="G116">
        <v>3.95014528912353E-2</v>
      </c>
      <c r="H116">
        <v>0.16575397399428801</v>
      </c>
      <c r="I116">
        <v>0.9</v>
      </c>
      <c r="J116" s="3">
        <v>70.3</v>
      </c>
      <c r="K116" s="3">
        <v>12.7</v>
      </c>
      <c r="L116" s="3">
        <v>11.2</v>
      </c>
      <c r="M116" s="3">
        <v>2.2000000000000002</v>
      </c>
      <c r="N116" s="3">
        <v>3.6</v>
      </c>
    </row>
    <row r="117" spans="1:14" x14ac:dyDescent="0.25">
      <c r="A117">
        <v>4</v>
      </c>
      <c r="B117" t="s">
        <v>18</v>
      </c>
      <c r="C117">
        <v>7.0708867001046796E-2</v>
      </c>
      <c r="D117">
        <v>0.42653135184144902</v>
      </c>
      <c r="E117">
        <v>0.50121721370554295</v>
      </c>
      <c r="F117">
        <v>1.54256745196149E-3</v>
      </c>
      <c r="G117">
        <v>-0.219400038419792</v>
      </c>
      <c r="H117">
        <v>-7.6147992742301995E-2</v>
      </c>
      <c r="I117">
        <v>0.9</v>
      </c>
      <c r="J117" s="2">
        <v>28.4</v>
      </c>
      <c r="K117" s="2">
        <v>14.4</v>
      </c>
      <c r="L117" s="2">
        <v>8.4</v>
      </c>
      <c r="M117" s="2">
        <v>43.4</v>
      </c>
      <c r="N117" s="2">
        <v>5.4</v>
      </c>
    </row>
    <row r="118" spans="1:14" x14ac:dyDescent="0.25">
      <c r="A118">
        <v>5</v>
      </c>
      <c r="B118" t="s">
        <v>19</v>
      </c>
      <c r="C118">
        <v>0.30873503293003601</v>
      </c>
      <c r="D118">
        <v>0.23877579544959901</v>
      </c>
      <c r="E118">
        <v>0.452489171620365</v>
      </c>
      <c r="F118">
        <v>0</v>
      </c>
      <c r="G118">
        <v>-0.83838782484863394</v>
      </c>
      <c r="H118">
        <v>-0.92684773444703406</v>
      </c>
      <c r="I118">
        <v>0.9</v>
      </c>
      <c r="J118" s="2">
        <v>51.6</v>
      </c>
      <c r="K118" s="2">
        <v>6.8</v>
      </c>
      <c r="L118" s="2">
        <v>26.8</v>
      </c>
      <c r="M118" s="2">
        <v>9.3000000000000007</v>
      </c>
      <c r="N118" s="2">
        <v>5.6</v>
      </c>
    </row>
    <row r="119" spans="1:14" x14ac:dyDescent="0.25">
      <c r="A119">
        <v>6</v>
      </c>
      <c r="B119" t="s">
        <v>20</v>
      </c>
      <c r="C119">
        <v>3.0558527085207801E-2</v>
      </c>
      <c r="D119">
        <v>0.71844426012819396</v>
      </c>
      <c r="E119">
        <v>0.247009240887336</v>
      </c>
      <c r="F119">
        <v>3.9879718992617197E-3</v>
      </c>
      <c r="G119">
        <v>1.1278638858897201</v>
      </c>
      <c r="H119">
        <v>1.0091032268294899</v>
      </c>
      <c r="I119">
        <v>0.9</v>
      </c>
      <c r="J119" s="2">
        <v>73.599999999999994</v>
      </c>
      <c r="K119" s="2">
        <v>4.4000000000000004</v>
      </c>
      <c r="L119" s="2">
        <v>17</v>
      </c>
      <c r="M119" s="2">
        <v>1.7</v>
      </c>
      <c r="N119" s="2">
        <v>3.4</v>
      </c>
    </row>
    <row r="120" spans="1:14" x14ac:dyDescent="0.25">
      <c r="A120">
        <v>7</v>
      </c>
      <c r="B120" t="s">
        <v>21</v>
      </c>
      <c r="C120">
        <v>3.0312368083723101E-3</v>
      </c>
      <c r="D120">
        <v>0.81449516576653702</v>
      </c>
      <c r="E120">
        <v>0.180628097768496</v>
      </c>
      <c r="F120">
        <v>1.84549965659506E-3</v>
      </c>
      <c r="G120">
        <v>1.2077891988765399</v>
      </c>
      <c r="H120">
        <v>1.4455660745841401</v>
      </c>
      <c r="I120">
        <v>0.9</v>
      </c>
      <c r="J120" s="2">
        <v>46</v>
      </c>
      <c r="K120" s="2">
        <v>9.9</v>
      </c>
      <c r="L120" s="2">
        <v>38.1</v>
      </c>
      <c r="M120" s="2">
        <v>2.2000000000000002</v>
      </c>
      <c r="N120" s="2">
        <v>3.9</v>
      </c>
    </row>
    <row r="121" spans="1:14" x14ac:dyDescent="0.25">
      <c r="A121">
        <v>8</v>
      </c>
      <c r="B121" t="s">
        <v>22</v>
      </c>
      <c r="C121">
        <v>2.9281559182344999E-2</v>
      </c>
      <c r="D121">
        <v>0.64836201451389996</v>
      </c>
      <c r="E121">
        <v>0.315437361570436</v>
      </c>
      <c r="F121">
        <v>6.9190647333187997E-3</v>
      </c>
      <c r="G121">
        <v>0.37924654828637999</v>
      </c>
      <c r="H121">
        <v>0.57227909646839403</v>
      </c>
      <c r="I121">
        <v>0.9</v>
      </c>
      <c r="J121" s="2">
        <v>61.8</v>
      </c>
      <c r="K121" s="2">
        <v>8.6999999999999993</v>
      </c>
      <c r="L121" s="2">
        <v>19</v>
      </c>
      <c r="M121" s="2">
        <v>3.8</v>
      </c>
      <c r="N121" s="2">
        <v>6.8</v>
      </c>
    </row>
    <row r="122" spans="1:14" x14ac:dyDescent="0.25">
      <c r="A122">
        <v>9</v>
      </c>
      <c r="B122" t="s">
        <v>23</v>
      </c>
      <c r="C122">
        <v>7.7088820162017499E-2</v>
      </c>
      <c r="D122">
        <v>0.44091363002429002</v>
      </c>
      <c r="E122">
        <v>0.48195091997047201</v>
      </c>
      <c r="F122">
        <v>4.6629843220777799E-5</v>
      </c>
      <c r="G122">
        <v>-9.4406020037239094E-2</v>
      </c>
      <c r="H122">
        <v>7.1198295306388895E-2</v>
      </c>
      <c r="I122">
        <v>0.9</v>
      </c>
      <c r="J122" s="2">
        <v>54.4</v>
      </c>
      <c r="K122" s="2">
        <v>7.5</v>
      </c>
      <c r="L122" s="2">
        <v>31.2</v>
      </c>
      <c r="M122" s="2">
        <v>2.2000000000000002</v>
      </c>
      <c r="N122" s="2">
        <v>4.7</v>
      </c>
    </row>
    <row r="123" spans="1:14" x14ac:dyDescent="0.25">
      <c r="A123">
        <v>10</v>
      </c>
      <c r="B123" t="s">
        <v>24</v>
      </c>
      <c r="C123">
        <v>2.52887999153425E-2</v>
      </c>
      <c r="D123">
        <v>0.55969765445738495</v>
      </c>
      <c r="E123">
        <v>0.41485764353552801</v>
      </c>
      <c r="F123">
        <v>1.5590209174446199E-4</v>
      </c>
      <c r="G123">
        <v>0.26667573783169701</v>
      </c>
      <c r="H123">
        <v>0.408498823114053</v>
      </c>
      <c r="I123">
        <v>0.9</v>
      </c>
      <c r="J123" s="2">
        <v>60.3</v>
      </c>
      <c r="K123" s="2">
        <v>10.5</v>
      </c>
      <c r="L123" s="2">
        <v>22.4</v>
      </c>
      <c r="M123" s="2">
        <v>2.2999999999999998</v>
      </c>
      <c r="N123" s="2">
        <v>4.5</v>
      </c>
    </row>
    <row r="124" spans="1:14" x14ac:dyDescent="0.25">
      <c r="A124">
        <v>11</v>
      </c>
      <c r="B124" t="s">
        <v>25</v>
      </c>
      <c r="C124">
        <v>0.152513445947456</v>
      </c>
      <c r="D124">
        <v>0.23814138699083701</v>
      </c>
      <c r="E124">
        <v>0.60929167272752605</v>
      </c>
      <c r="F124">
        <v>5.3494334180571297E-5</v>
      </c>
      <c r="G124">
        <v>-0.52949931716148502</v>
      </c>
      <c r="H124">
        <v>-0.68325783797914097</v>
      </c>
      <c r="I124">
        <v>0.9</v>
      </c>
      <c r="J124" s="2">
        <v>62.3</v>
      </c>
      <c r="K124" s="2">
        <v>5.8</v>
      </c>
      <c r="L124" s="2">
        <v>25.4</v>
      </c>
      <c r="M124" s="2">
        <v>3.8</v>
      </c>
      <c r="N124" s="2">
        <v>2.7</v>
      </c>
    </row>
    <row r="125" spans="1:14" x14ac:dyDescent="0.25">
      <c r="A125">
        <v>12</v>
      </c>
      <c r="B125" t="s">
        <v>26</v>
      </c>
      <c r="C125">
        <v>0.11311915183098201</v>
      </c>
      <c r="D125">
        <v>0.181529280389716</v>
      </c>
      <c r="E125">
        <v>0.70535156777930197</v>
      </c>
      <c r="F125">
        <v>0</v>
      </c>
      <c r="G125">
        <v>-1.07589491851161</v>
      </c>
      <c r="H125">
        <v>-1.01293757538559</v>
      </c>
      <c r="I125">
        <v>0.9</v>
      </c>
      <c r="J125" s="2">
        <v>52.5</v>
      </c>
      <c r="K125" s="2">
        <v>7.7</v>
      </c>
      <c r="L125" s="2">
        <v>18.600000000000001</v>
      </c>
      <c r="M125" s="2">
        <v>16.3</v>
      </c>
      <c r="N125" s="2">
        <v>4.8</v>
      </c>
    </row>
    <row r="126" spans="1:14" x14ac:dyDescent="0.25">
      <c r="A126">
        <v>13</v>
      </c>
      <c r="B126" t="s">
        <v>27</v>
      </c>
      <c r="C126">
        <v>5.8743057389236096E-3</v>
      </c>
      <c r="D126">
        <v>0.43723389214234998</v>
      </c>
      <c r="E126">
        <v>0.55674073194146501</v>
      </c>
      <c r="F126">
        <v>1.51070177262131E-4</v>
      </c>
      <c r="G126">
        <v>-0.426581499563981</v>
      </c>
      <c r="H126">
        <v>0.11565391582760701</v>
      </c>
      <c r="I126">
        <v>0.9</v>
      </c>
      <c r="J126" s="2">
        <v>55.2</v>
      </c>
      <c r="K126" s="2">
        <v>17.5</v>
      </c>
      <c r="L126" s="2">
        <v>19.899999999999999</v>
      </c>
      <c r="M126" s="2">
        <v>3.4</v>
      </c>
      <c r="N126" s="2">
        <v>4</v>
      </c>
    </row>
    <row r="127" spans="1:14" x14ac:dyDescent="0.25">
      <c r="A127">
        <v>14</v>
      </c>
      <c r="B127" t="s">
        <v>28</v>
      </c>
      <c r="C127">
        <v>9.35906161883127E-2</v>
      </c>
      <c r="D127">
        <v>0.28748783016402002</v>
      </c>
      <c r="E127">
        <v>0.61892155364766799</v>
      </c>
      <c r="F127">
        <v>0</v>
      </c>
      <c r="G127">
        <v>-0.604146251780599</v>
      </c>
      <c r="H127">
        <v>-0.55722886713625897</v>
      </c>
      <c r="I127">
        <v>0.9</v>
      </c>
      <c r="J127" s="2">
        <v>47.9</v>
      </c>
      <c r="K127" s="2">
        <v>5</v>
      </c>
      <c r="L127" s="2">
        <v>35.700000000000003</v>
      </c>
      <c r="M127" s="2">
        <v>3.6</v>
      </c>
      <c r="N127" s="2">
        <v>7.8</v>
      </c>
    </row>
    <row r="128" spans="1:14" x14ac:dyDescent="0.25">
      <c r="A128">
        <v>1</v>
      </c>
      <c r="B128" t="s">
        <v>15</v>
      </c>
      <c r="C128">
        <v>5.7776262286214101E-3</v>
      </c>
      <c r="D128">
        <v>0.85981376803325604</v>
      </c>
      <c r="E128">
        <v>0.134330977574358</v>
      </c>
      <c r="F128">
        <v>7.7628163764730193E-5</v>
      </c>
      <c r="G128">
        <v>2.2562526000132599</v>
      </c>
      <c r="H128">
        <v>1.54280228408299</v>
      </c>
      <c r="I128">
        <v>1</v>
      </c>
      <c r="J128" s="3">
        <v>57.3</v>
      </c>
      <c r="K128" s="3">
        <v>13.2</v>
      </c>
      <c r="L128" s="3">
        <v>21.6</v>
      </c>
      <c r="M128" s="3">
        <v>2.8</v>
      </c>
      <c r="N128" s="3">
        <v>5.2</v>
      </c>
    </row>
    <row r="129" spans="1:14" x14ac:dyDescent="0.25">
      <c r="A129">
        <v>2</v>
      </c>
      <c r="B129" t="s">
        <v>16</v>
      </c>
      <c r="C129">
        <v>0.67329501066893505</v>
      </c>
      <c r="D129">
        <v>5.6667793803854899E-3</v>
      </c>
      <c r="E129">
        <v>0.321038209950679</v>
      </c>
      <c r="F129">
        <v>0</v>
      </c>
      <c r="G129">
        <v>-1.48901355346549</v>
      </c>
      <c r="H129">
        <v>-2.0744356825170298</v>
      </c>
      <c r="I129">
        <v>1</v>
      </c>
      <c r="J129" s="3">
        <v>26.1</v>
      </c>
      <c r="K129" s="3">
        <v>2.1</v>
      </c>
      <c r="L129" s="3">
        <v>10.3</v>
      </c>
      <c r="M129" s="3">
        <v>58.1</v>
      </c>
      <c r="N129" s="3">
        <v>3.4</v>
      </c>
    </row>
    <row r="130" spans="1:14" x14ac:dyDescent="0.25">
      <c r="A130">
        <v>3</v>
      </c>
      <c r="B130" t="s">
        <v>17</v>
      </c>
      <c r="C130">
        <v>2.2299433987198199E-2</v>
      </c>
      <c r="D130">
        <v>0.44649680698795902</v>
      </c>
      <c r="E130">
        <v>0.53087943238650404</v>
      </c>
      <c r="F130">
        <v>3.2432663833810801E-4</v>
      </c>
      <c r="G130">
        <v>3.95014528912353E-2</v>
      </c>
      <c r="H130">
        <v>0.16575397399428801</v>
      </c>
      <c r="I130">
        <v>1</v>
      </c>
      <c r="J130" s="3">
        <v>69.8</v>
      </c>
      <c r="K130" s="3">
        <v>12.7</v>
      </c>
      <c r="L130" s="3">
        <v>11.4</v>
      </c>
      <c r="M130" s="3">
        <v>2.2000000000000002</v>
      </c>
      <c r="N130" s="3">
        <v>3.8</v>
      </c>
    </row>
    <row r="131" spans="1:14" x14ac:dyDescent="0.25">
      <c r="A131">
        <v>4</v>
      </c>
      <c r="B131" t="s">
        <v>18</v>
      </c>
      <c r="C131">
        <v>7.0708867001046796E-2</v>
      </c>
      <c r="D131">
        <v>0.42653135184144902</v>
      </c>
      <c r="E131">
        <v>0.50121721370554295</v>
      </c>
      <c r="F131">
        <v>1.54256745196149E-3</v>
      </c>
      <c r="G131">
        <v>-0.219400038419792</v>
      </c>
      <c r="H131">
        <v>-7.6147992742301995E-2</v>
      </c>
      <c r="I131">
        <v>1</v>
      </c>
      <c r="J131" s="3">
        <v>28.1</v>
      </c>
      <c r="K131" s="3">
        <v>14.9</v>
      </c>
      <c r="L131" s="3">
        <v>8.5</v>
      </c>
      <c r="M131" s="3">
        <v>42.9</v>
      </c>
      <c r="N131" s="3">
        <v>5.6</v>
      </c>
    </row>
    <row r="132" spans="1:14" x14ac:dyDescent="0.25">
      <c r="A132">
        <v>5</v>
      </c>
      <c r="B132" t="s">
        <v>19</v>
      </c>
      <c r="C132">
        <v>0.30873503293003601</v>
      </c>
      <c r="D132">
        <v>0.23877579544959901</v>
      </c>
      <c r="E132">
        <v>0.452489171620365</v>
      </c>
      <c r="F132">
        <v>0</v>
      </c>
      <c r="G132">
        <v>-0.83838782484863394</v>
      </c>
      <c r="H132">
        <v>-0.92684773444703406</v>
      </c>
      <c r="I132">
        <v>1</v>
      </c>
      <c r="J132" s="3">
        <v>51.6</v>
      </c>
      <c r="K132" s="3">
        <v>6.9</v>
      </c>
      <c r="L132" s="3">
        <v>26.8</v>
      </c>
      <c r="M132" s="3">
        <v>8.9</v>
      </c>
      <c r="N132" s="3">
        <v>5.8</v>
      </c>
    </row>
    <row r="133" spans="1:14" x14ac:dyDescent="0.25">
      <c r="A133">
        <v>6</v>
      </c>
      <c r="B133" t="s">
        <v>20</v>
      </c>
      <c r="C133">
        <v>3.0558527085207801E-2</v>
      </c>
      <c r="D133">
        <v>0.71844426012819396</v>
      </c>
      <c r="E133">
        <v>0.247009240887336</v>
      </c>
      <c r="F133">
        <v>3.9879718992617197E-3</v>
      </c>
      <c r="G133">
        <v>1.1278638858897201</v>
      </c>
      <c r="H133">
        <v>1.0091032268294899</v>
      </c>
      <c r="I133">
        <v>1</v>
      </c>
      <c r="J133" s="3">
        <v>75.599999999999994</v>
      </c>
      <c r="K133" s="3">
        <v>3.9</v>
      </c>
      <c r="L133" s="3">
        <v>15.8</v>
      </c>
      <c r="M133" s="3">
        <v>1.5</v>
      </c>
      <c r="N133" s="3">
        <v>3.2</v>
      </c>
    </row>
    <row r="134" spans="1:14" x14ac:dyDescent="0.25">
      <c r="A134">
        <v>7</v>
      </c>
      <c r="B134" t="s">
        <v>21</v>
      </c>
      <c r="C134">
        <v>3.0312368083723101E-3</v>
      </c>
      <c r="D134">
        <v>0.81449516576653702</v>
      </c>
      <c r="E134">
        <v>0.180628097768496</v>
      </c>
      <c r="F134">
        <v>1.84549965659506E-3</v>
      </c>
      <c r="G134">
        <v>1.2077891988765399</v>
      </c>
      <c r="H134">
        <v>1.4455660745841401</v>
      </c>
      <c r="I134">
        <v>1</v>
      </c>
      <c r="J134" s="3">
        <v>43.9</v>
      </c>
      <c r="K134" s="3">
        <v>11.1</v>
      </c>
      <c r="L134" s="3">
        <v>39.1</v>
      </c>
      <c r="M134" s="3">
        <v>2.1</v>
      </c>
      <c r="N134" s="3">
        <v>3.8</v>
      </c>
    </row>
    <row r="135" spans="1:14" x14ac:dyDescent="0.25">
      <c r="A135">
        <v>8</v>
      </c>
      <c r="B135" t="s">
        <v>22</v>
      </c>
      <c r="C135">
        <v>2.9281559182344999E-2</v>
      </c>
      <c r="D135">
        <v>0.64836201451389996</v>
      </c>
      <c r="E135">
        <v>0.315437361570436</v>
      </c>
      <c r="F135">
        <v>6.9190647333187997E-3</v>
      </c>
      <c r="G135">
        <v>0.37924654828637999</v>
      </c>
      <c r="H135">
        <v>0.57227909646839403</v>
      </c>
      <c r="I135">
        <v>1</v>
      </c>
      <c r="J135" s="3">
        <v>61.2</v>
      </c>
      <c r="K135" s="3">
        <v>8.6</v>
      </c>
      <c r="L135" s="3">
        <v>19.100000000000001</v>
      </c>
      <c r="M135" s="3">
        <v>4</v>
      </c>
      <c r="N135" s="3">
        <v>7.1</v>
      </c>
    </row>
    <row r="136" spans="1:14" x14ac:dyDescent="0.25">
      <c r="A136">
        <v>9</v>
      </c>
      <c r="B136" t="s">
        <v>23</v>
      </c>
      <c r="C136">
        <v>7.7088820162017499E-2</v>
      </c>
      <c r="D136">
        <v>0.44091363002429002</v>
      </c>
      <c r="E136">
        <v>0.48195091997047201</v>
      </c>
      <c r="F136">
        <v>4.6629843220777799E-5</v>
      </c>
      <c r="G136">
        <v>-9.4406020037239094E-2</v>
      </c>
      <c r="H136">
        <v>7.1198295306388895E-2</v>
      </c>
      <c r="I136">
        <v>1</v>
      </c>
      <c r="J136" s="3">
        <v>61.6</v>
      </c>
      <c r="K136" s="3">
        <v>8.1</v>
      </c>
      <c r="L136" s="3">
        <v>22.4</v>
      </c>
      <c r="M136" s="3">
        <v>2.5</v>
      </c>
      <c r="N136" s="3">
        <v>5.5</v>
      </c>
    </row>
    <row r="137" spans="1:14" x14ac:dyDescent="0.25">
      <c r="A137">
        <v>10</v>
      </c>
      <c r="B137" t="s">
        <v>24</v>
      </c>
      <c r="C137">
        <v>2.52887999153425E-2</v>
      </c>
      <c r="D137">
        <v>0.55969765445738495</v>
      </c>
      <c r="E137">
        <v>0.41485764353552801</v>
      </c>
      <c r="F137">
        <v>1.5590209174446199E-4</v>
      </c>
      <c r="G137">
        <v>0.26667573783169701</v>
      </c>
      <c r="H137">
        <v>0.408498823114053</v>
      </c>
      <c r="I137">
        <v>1</v>
      </c>
      <c r="J137" s="3">
        <v>61.7</v>
      </c>
      <c r="K137" s="3">
        <v>10.1</v>
      </c>
      <c r="L137" s="3">
        <v>21.5</v>
      </c>
      <c r="M137" s="3">
        <v>2.2000000000000002</v>
      </c>
      <c r="N137" s="3">
        <v>4.5</v>
      </c>
    </row>
    <row r="138" spans="1:14" x14ac:dyDescent="0.25">
      <c r="A138">
        <v>11</v>
      </c>
      <c r="B138" t="s">
        <v>25</v>
      </c>
      <c r="C138">
        <v>0.152513445947456</v>
      </c>
      <c r="D138">
        <v>0.23814138699083701</v>
      </c>
      <c r="E138">
        <v>0.60929167272752605</v>
      </c>
      <c r="F138">
        <v>5.3494334180571297E-5</v>
      </c>
      <c r="G138">
        <v>-0.52949931716148502</v>
      </c>
      <c r="H138">
        <v>-0.68325783797914097</v>
      </c>
      <c r="I138">
        <v>1</v>
      </c>
      <c r="J138" s="3">
        <v>64.3</v>
      </c>
      <c r="K138" s="3">
        <v>5.7</v>
      </c>
      <c r="L138" s="3">
        <v>23</v>
      </c>
      <c r="M138" s="3">
        <v>4</v>
      </c>
      <c r="N138" s="3">
        <v>3</v>
      </c>
    </row>
    <row r="139" spans="1:14" x14ac:dyDescent="0.25">
      <c r="A139">
        <v>12</v>
      </c>
      <c r="B139" t="s">
        <v>26</v>
      </c>
      <c r="C139">
        <v>0.11311915183098201</v>
      </c>
      <c r="D139">
        <v>0.181529280389716</v>
      </c>
      <c r="E139">
        <v>0.70535156777930197</v>
      </c>
      <c r="F139">
        <v>0</v>
      </c>
      <c r="G139">
        <v>-1.07589491851161</v>
      </c>
      <c r="H139">
        <v>-1.01293757538559</v>
      </c>
      <c r="I139">
        <v>1</v>
      </c>
      <c r="J139" s="3">
        <v>52.7</v>
      </c>
      <c r="K139" s="3">
        <v>7.6</v>
      </c>
      <c r="L139" s="3">
        <v>18.899999999999999</v>
      </c>
      <c r="M139" s="3">
        <v>16</v>
      </c>
      <c r="N139" s="3">
        <v>4.9000000000000004</v>
      </c>
    </row>
    <row r="140" spans="1:14" x14ac:dyDescent="0.25">
      <c r="A140">
        <v>13</v>
      </c>
      <c r="B140" t="s">
        <v>27</v>
      </c>
      <c r="C140">
        <v>5.8743057389236096E-3</v>
      </c>
      <c r="D140">
        <v>0.43723389214234998</v>
      </c>
      <c r="E140">
        <v>0.55674073194146501</v>
      </c>
      <c r="F140">
        <v>1.51070177262131E-4</v>
      </c>
      <c r="G140">
        <v>-0.426581499563981</v>
      </c>
      <c r="H140">
        <v>0.11565391582760701</v>
      </c>
      <c r="I140">
        <v>1</v>
      </c>
      <c r="J140" s="3">
        <v>56.4</v>
      </c>
      <c r="K140" s="3">
        <v>16.5</v>
      </c>
      <c r="L140" s="3">
        <v>19</v>
      </c>
      <c r="M140" s="3">
        <v>3.9</v>
      </c>
      <c r="N140" s="3">
        <v>4.2</v>
      </c>
    </row>
    <row r="141" spans="1:14" x14ac:dyDescent="0.25">
      <c r="A141">
        <v>14</v>
      </c>
      <c r="B141" t="s">
        <v>28</v>
      </c>
      <c r="C141">
        <v>9.35906161883127E-2</v>
      </c>
      <c r="D141">
        <v>0.28748783016402002</v>
      </c>
      <c r="E141">
        <v>0.61892155364766799</v>
      </c>
      <c r="F141">
        <v>0</v>
      </c>
      <c r="G141">
        <v>-0.604146251780599</v>
      </c>
      <c r="H141">
        <v>-0.55722886713625897</v>
      </c>
      <c r="I141">
        <v>1</v>
      </c>
      <c r="J141" s="3">
        <v>47.6</v>
      </c>
      <c r="K141" s="3">
        <v>5</v>
      </c>
      <c r="L141" s="3">
        <v>35.700000000000003</v>
      </c>
      <c r="M141" s="3">
        <v>3.5</v>
      </c>
      <c r="N141" s="3">
        <v>8.1999999999999993</v>
      </c>
    </row>
  </sheetData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0"/>
  <sheetViews>
    <sheetView zoomScale="70" zoomScaleNormal="70" workbookViewId="0">
      <selection activeCell="Q10" sqref="Q10"/>
    </sheetView>
  </sheetViews>
  <sheetFormatPr defaultColWidth="8.7265625" defaultRowHeight="14" x14ac:dyDescent="0.25"/>
  <sheetData>
    <row r="1" spans="1:12" x14ac:dyDescent="0.25">
      <c r="A1">
        <v>5.7776262286214101E-3</v>
      </c>
      <c r="B1">
        <v>0.85981376803325604</v>
      </c>
      <c r="C1">
        <v>0.134330977574358</v>
      </c>
      <c r="D1">
        <v>7.7628163764730193E-5</v>
      </c>
      <c r="E1">
        <v>2.2562526000132599</v>
      </c>
      <c r="F1">
        <v>1.54280228408299</v>
      </c>
      <c r="G1">
        <v>0.1</v>
      </c>
      <c r="H1">
        <v>55.2</v>
      </c>
      <c r="I1">
        <v>9.6</v>
      </c>
      <c r="J1">
        <v>28.2</v>
      </c>
      <c r="K1">
        <v>5.0999999999999996</v>
      </c>
      <c r="L1">
        <v>1.9</v>
      </c>
    </row>
    <row r="2" spans="1:12" x14ac:dyDescent="0.25">
      <c r="A2">
        <v>0.67329501066893505</v>
      </c>
      <c r="B2">
        <v>5.6667793803854899E-3</v>
      </c>
      <c r="C2">
        <v>0.321038209950679</v>
      </c>
      <c r="D2">
        <v>0</v>
      </c>
      <c r="E2">
        <v>-1.48901355346549</v>
      </c>
      <c r="F2">
        <v>-2.0744356825170298</v>
      </c>
      <c r="G2">
        <v>0.1</v>
      </c>
      <c r="H2">
        <v>22.8</v>
      </c>
      <c r="I2">
        <v>0.7</v>
      </c>
      <c r="J2">
        <v>14.4</v>
      </c>
      <c r="K2">
        <v>60.8</v>
      </c>
      <c r="L2">
        <v>1.3</v>
      </c>
    </row>
    <row r="3" spans="1:12" x14ac:dyDescent="0.25">
      <c r="A3">
        <v>2.2299433987198199E-2</v>
      </c>
      <c r="B3">
        <v>0.44649680698795902</v>
      </c>
      <c r="C3">
        <v>0.53087943238650404</v>
      </c>
      <c r="D3">
        <v>3.2432663833810801E-4</v>
      </c>
      <c r="E3">
        <v>3.95014528912353E-2</v>
      </c>
      <c r="F3">
        <v>0.16575397399428801</v>
      </c>
      <c r="G3">
        <v>0.1</v>
      </c>
      <c r="H3">
        <v>72.099999999999994</v>
      </c>
      <c r="I3">
        <v>9.5</v>
      </c>
      <c r="J3">
        <v>12.7</v>
      </c>
      <c r="K3">
        <v>3.4</v>
      </c>
      <c r="L3">
        <v>2.2999999999999998</v>
      </c>
    </row>
    <row r="4" spans="1:12" x14ac:dyDescent="0.25">
      <c r="A4">
        <v>7.0708867001046796E-2</v>
      </c>
      <c r="B4">
        <v>0.42653135184144902</v>
      </c>
      <c r="C4">
        <v>0.50121721370554295</v>
      </c>
      <c r="D4">
        <v>1.54256745196149E-3</v>
      </c>
      <c r="E4">
        <v>-0.219400038419792</v>
      </c>
      <c r="F4">
        <v>-7.6147992742301995E-2</v>
      </c>
      <c r="G4">
        <v>0.1</v>
      </c>
      <c r="H4">
        <v>31.5</v>
      </c>
      <c r="I4">
        <v>12.7</v>
      </c>
      <c r="J4">
        <v>11.3</v>
      </c>
      <c r="K4" s="6">
        <v>43</v>
      </c>
      <c r="L4">
        <v>1.5</v>
      </c>
    </row>
    <row r="5" spans="1:12" x14ac:dyDescent="0.25">
      <c r="A5">
        <v>0.30873503293003601</v>
      </c>
      <c r="B5">
        <v>0.23877579544959901</v>
      </c>
      <c r="C5">
        <v>0.452489171620365</v>
      </c>
      <c r="D5">
        <v>0</v>
      </c>
      <c r="E5">
        <v>-0.83838782484863394</v>
      </c>
      <c r="F5">
        <v>-0.92684773444703406</v>
      </c>
      <c r="G5">
        <v>0.1</v>
      </c>
      <c r="H5">
        <v>43.8</v>
      </c>
      <c r="I5">
        <v>6.3</v>
      </c>
      <c r="J5">
        <v>34.799999999999997</v>
      </c>
      <c r="K5">
        <v>10.3</v>
      </c>
      <c r="L5">
        <v>4.8</v>
      </c>
    </row>
    <row r="6" spans="1:12" x14ac:dyDescent="0.25">
      <c r="A6">
        <v>3.0558527085207801E-2</v>
      </c>
      <c r="B6">
        <v>0.71844426012819396</v>
      </c>
      <c r="C6">
        <v>0.247009240887336</v>
      </c>
      <c r="D6">
        <v>3.9879718992617197E-3</v>
      </c>
      <c r="E6">
        <v>1.1278638858897201</v>
      </c>
      <c r="F6">
        <v>1.0091032268294899</v>
      </c>
      <c r="G6">
        <v>0.1</v>
      </c>
      <c r="H6">
        <v>61.3</v>
      </c>
      <c r="I6">
        <v>6.3</v>
      </c>
      <c r="J6">
        <v>27.5</v>
      </c>
      <c r="K6">
        <v>2.2999999999999998</v>
      </c>
      <c r="L6">
        <v>2.6</v>
      </c>
    </row>
    <row r="7" spans="1:12" x14ac:dyDescent="0.25">
      <c r="A7">
        <v>3.0312368083723101E-3</v>
      </c>
      <c r="B7">
        <v>0.81449516576653702</v>
      </c>
      <c r="C7">
        <v>0.180628097768496</v>
      </c>
      <c r="D7">
        <v>1.84549965659506E-3</v>
      </c>
      <c r="E7">
        <v>1.2077891988765399</v>
      </c>
      <c r="F7">
        <v>1.4455660745841401</v>
      </c>
      <c r="G7">
        <v>0.1</v>
      </c>
      <c r="H7">
        <v>44.7</v>
      </c>
      <c r="I7">
        <v>9.4</v>
      </c>
      <c r="J7">
        <v>41</v>
      </c>
      <c r="K7">
        <v>3</v>
      </c>
      <c r="L7">
        <v>1.9</v>
      </c>
    </row>
    <row r="8" spans="1:12" x14ac:dyDescent="0.25">
      <c r="A8">
        <v>2.9281559182344999E-2</v>
      </c>
      <c r="B8">
        <v>0.64836201451389996</v>
      </c>
      <c r="C8">
        <v>0.315437361570436</v>
      </c>
      <c r="D8">
        <v>6.9190647333187997E-3</v>
      </c>
      <c r="E8">
        <v>0.37924654828637999</v>
      </c>
      <c r="F8">
        <v>0.57227909646839403</v>
      </c>
      <c r="G8">
        <v>0.1</v>
      </c>
      <c r="H8">
        <v>55.4</v>
      </c>
      <c r="I8">
        <v>10.1</v>
      </c>
      <c r="J8">
        <v>27.1</v>
      </c>
      <c r="K8">
        <v>4.3</v>
      </c>
      <c r="L8">
        <v>3.1</v>
      </c>
    </row>
    <row r="9" spans="1:12" x14ac:dyDescent="0.25">
      <c r="A9">
        <v>7.7088820162017499E-2</v>
      </c>
      <c r="B9">
        <v>0.44091363002429002</v>
      </c>
      <c r="C9">
        <v>0.48195091997047201</v>
      </c>
      <c r="D9">
        <v>4.6629843220777799E-5</v>
      </c>
      <c r="E9">
        <v>-9.4406020037239094E-2</v>
      </c>
      <c r="F9">
        <v>7.1198295306388895E-2</v>
      </c>
      <c r="G9">
        <v>0.1</v>
      </c>
      <c r="H9">
        <v>59.2</v>
      </c>
      <c r="I9">
        <v>7.3</v>
      </c>
      <c r="J9">
        <v>28.3</v>
      </c>
      <c r="K9">
        <v>2.6</v>
      </c>
      <c r="L9">
        <v>2.6</v>
      </c>
    </row>
    <row r="10" spans="1:12" x14ac:dyDescent="0.25">
      <c r="A10">
        <v>2.52887999153425E-2</v>
      </c>
      <c r="B10">
        <v>0.55969765445738495</v>
      </c>
      <c r="C10">
        <v>0.41485764353552801</v>
      </c>
      <c r="D10">
        <v>1.5590209174446199E-4</v>
      </c>
      <c r="E10">
        <v>0.26667573783169701</v>
      </c>
      <c r="F10">
        <v>0.408498823114053</v>
      </c>
      <c r="G10">
        <v>0.1</v>
      </c>
      <c r="H10">
        <v>57.6</v>
      </c>
      <c r="I10">
        <v>7.8</v>
      </c>
      <c r="J10">
        <v>28.5</v>
      </c>
      <c r="K10">
        <v>2.8</v>
      </c>
      <c r="L10">
        <v>3.3</v>
      </c>
    </row>
    <row r="11" spans="1:12" x14ac:dyDescent="0.25">
      <c r="A11">
        <v>0.152513445947456</v>
      </c>
      <c r="B11">
        <v>0.23814138699083701</v>
      </c>
      <c r="C11">
        <v>0.60929167272752605</v>
      </c>
      <c r="D11">
        <v>5.3494334180571297E-5</v>
      </c>
      <c r="E11">
        <v>-0.52949931716148502</v>
      </c>
      <c r="F11">
        <v>-0.68325783797914097</v>
      </c>
      <c r="G11">
        <v>0.1</v>
      </c>
      <c r="H11">
        <v>54</v>
      </c>
      <c r="I11">
        <v>5</v>
      </c>
      <c r="J11">
        <v>32</v>
      </c>
      <c r="K11">
        <v>4</v>
      </c>
      <c r="L11">
        <v>5</v>
      </c>
    </row>
    <row r="12" spans="1:12" x14ac:dyDescent="0.25">
      <c r="A12">
        <v>0.11311915183098201</v>
      </c>
      <c r="B12">
        <v>0.181529280389716</v>
      </c>
      <c r="C12">
        <v>0.70535156777930197</v>
      </c>
      <c r="D12">
        <v>0</v>
      </c>
      <c r="E12">
        <v>-1.07589491851161</v>
      </c>
      <c r="F12">
        <v>-1.01293757538559</v>
      </c>
      <c r="G12">
        <v>0.1</v>
      </c>
      <c r="H12">
        <v>45.3</v>
      </c>
      <c r="I12">
        <v>7.5</v>
      </c>
      <c r="J12">
        <v>26.3</v>
      </c>
      <c r="K12">
        <v>19.2</v>
      </c>
      <c r="L12">
        <v>1.7</v>
      </c>
    </row>
    <row r="13" spans="1:12" x14ac:dyDescent="0.25">
      <c r="A13">
        <v>5.8743057389236096E-3</v>
      </c>
      <c r="B13">
        <v>0.43723389214234998</v>
      </c>
      <c r="C13">
        <v>0.55674073194146501</v>
      </c>
      <c r="D13">
        <v>1.51070177262131E-4</v>
      </c>
      <c r="E13">
        <v>-0.426581499563981</v>
      </c>
      <c r="F13">
        <v>0.11565391582760701</v>
      </c>
      <c r="G13">
        <v>0.1</v>
      </c>
      <c r="H13">
        <v>51.1</v>
      </c>
      <c r="I13">
        <v>14.4</v>
      </c>
      <c r="J13">
        <v>26.7</v>
      </c>
      <c r="K13">
        <v>4.3</v>
      </c>
      <c r="L13">
        <v>3.5</v>
      </c>
    </row>
    <row r="14" spans="1:12" x14ac:dyDescent="0.25">
      <c r="A14">
        <v>9.35906161883127E-2</v>
      </c>
      <c r="B14">
        <v>0.28748783016402002</v>
      </c>
      <c r="C14">
        <v>0.61892155364766799</v>
      </c>
      <c r="D14">
        <v>0</v>
      </c>
      <c r="E14">
        <v>-0.604146251780599</v>
      </c>
      <c r="F14">
        <v>-0.55722886713625897</v>
      </c>
      <c r="G14">
        <v>0.1</v>
      </c>
      <c r="H14">
        <v>39.299999999999997</v>
      </c>
      <c r="I14">
        <v>5.7</v>
      </c>
      <c r="J14">
        <v>45.2</v>
      </c>
      <c r="K14">
        <v>4.3</v>
      </c>
      <c r="L14">
        <v>5.5</v>
      </c>
    </row>
    <row r="15" spans="1:12" x14ac:dyDescent="0.25">
      <c r="A15">
        <v>5.7776262286214101E-3</v>
      </c>
      <c r="B15">
        <v>0.85981376803325604</v>
      </c>
      <c r="C15">
        <v>0.134330977574358</v>
      </c>
      <c r="D15">
        <v>7.7628163764730193E-5</v>
      </c>
      <c r="E15">
        <v>2.2562526000132599</v>
      </c>
      <c r="F15">
        <v>1.54280228408299</v>
      </c>
      <c r="G15">
        <v>0.2</v>
      </c>
      <c r="H15" s="1">
        <v>55.4</v>
      </c>
      <c r="I15" s="1">
        <v>10.4</v>
      </c>
      <c r="J15" s="1">
        <v>26.8</v>
      </c>
      <c r="K15" s="1">
        <v>5.5</v>
      </c>
      <c r="L15" s="1">
        <v>1.9</v>
      </c>
    </row>
    <row r="16" spans="1:12" x14ac:dyDescent="0.25">
      <c r="A16">
        <v>0.67329501066893505</v>
      </c>
      <c r="B16">
        <v>5.6667793803854899E-3</v>
      </c>
      <c r="C16">
        <v>0.321038209950679</v>
      </c>
      <c r="D16">
        <v>0</v>
      </c>
      <c r="E16">
        <v>-1.48901355346549</v>
      </c>
      <c r="F16">
        <v>-2.0744356825170298</v>
      </c>
      <c r="G16">
        <v>0.2</v>
      </c>
      <c r="H16" s="1">
        <v>21.6</v>
      </c>
      <c r="I16" s="1">
        <v>1.4</v>
      </c>
      <c r="J16" s="1">
        <v>13.3</v>
      </c>
      <c r="K16" s="1">
        <v>62.3</v>
      </c>
      <c r="L16" s="1">
        <v>1.4</v>
      </c>
    </row>
    <row r="17" spans="1:12" x14ac:dyDescent="0.25">
      <c r="A17">
        <v>2.2299433987198199E-2</v>
      </c>
      <c r="B17">
        <v>0.44649680698795902</v>
      </c>
      <c r="C17">
        <v>0.53087943238650404</v>
      </c>
      <c r="D17">
        <v>3.2432663833810801E-4</v>
      </c>
      <c r="E17">
        <v>3.95014528912353E-2</v>
      </c>
      <c r="F17">
        <v>0.16575397399428801</v>
      </c>
      <c r="G17">
        <v>0.2</v>
      </c>
      <c r="H17" s="1">
        <v>70.7</v>
      </c>
      <c r="I17" s="1">
        <v>10.3</v>
      </c>
      <c r="J17" s="1">
        <v>12.6</v>
      </c>
      <c r="K17" s="1">
        <v>3.9</v>
      </c>
      <c r="L17" s="1">
        <v>2.5</v>
      </c>
    </row>
    <row r="18" spans="1:12" x14ac:dyDescent="0.25">
      <c r="A18">
        <v>7.0708867001046796E-2</v>
      </c>
      <c r="B18">
        <v>0.42653135184144902</v>
      </c>
      <c r="C18">
        <v>0.50121721370554295</v>
      </c>
      <c r="D18">
        <v>1.54256745196149E-3</v>
      </c>
      <c r="E18">
        <v>-0.219400038419792</v>
      </c>
      <c r="F18">
        <v>-7.6147992742301995E-2</v>
      </c>
      <c r="G18">
        <v>0.2</v>
      </c>
      <c r="H18" s="1">
        <v>28.6</v>
      </c>
      <c r="I18" s="1">
        <v>13.4</v>
      </c>
      <c r="J18" s="1">
        <v>10.3</v>
      </c>
      <c r="K18" s="1">
        <v>46.1</v>
      </c>
      <c r="L18" s="1">
        <v>1.6</v>
      </c>
    </row>
    <row r="19" spans="1:12" x14ac:dyDescent="0.25">
      <c r="A19">
        <v>0.30873503293003601</v>
      </c>
      <c r="B19">
        <v>0.23877579544959901</v>
      </c>
      <c r="C19">
        <v>0.452489171620365</v>
      </c>
      <c r="D19">
        <v>0</v>
      </c>
      <c r="E19">
        <v>-0.83838782484863394</v>
      </c>
      <c r="F19">
        <v>-0.92684773444703406</v>
      </c>
      <c r="G19">
        <v>0.2</v>
      </c>
      <c r="H19" s="1">
        <v>43.9</v>
      </c>
      <c r="I19" s="1">
        <v>5.6</v>
      </c>
      <c r="J19" s="1">
        <v>33.5</v>
      </c>
      <c r="K19" s="1">
        <v>11.9</v>
      </c>
      <c r="L19" s="1">
        <v>5.0999999999999996</v>
      </c>
    </row>
    <row r="20" spans="1:12" x14ac:dyDescent="0.25">
      <c r="A20">
        <v>3.0558527085207801E-2</v>
      </c>
      <c r="B20">
        <v>0.71844426012819396</v>
      </c>
      <c r="C20">
        <v>0.247009240887336</v>
      </c>
      <c r="D20">
        <v>3.9879718992617197E-3</v>
      </c>
      <c r="E20">
        <v>1.1278638858897201</v>
      </c>
      <c r="F20">
        <v>1.0091032268294899</v>
      </c>
      <c r="G20">
        <v>0.2</v>
      </c>
      <c r="H20" s="1">
        <v>63.3</v>
      </c>
      <c r="I20" s="1">
        <v>6.2</v>
      </c>
      <c r="J20" s="1">
        <v>25.4</v>
      </c>
      <c r="K20" s="1">
        <v>2.4</v>
      </c>
      <c r="L20" s="1">
        <v>2.7</v>
      </c>
    </row>
    <row r="21" spans="1:12" x14ac:dyDescent="0.25">
      <c r="A21">
        <v>3.0312368083723101E-3</v>
      </c>
      <c r="B21">
        <v>0.81449516576653702</v>
      </c>
      <c r="C21">
        <v>0.180628097768496</v>
      </c>
      <c r="D21">
        <v>1.84549965659506E-3</v>
      </c>
      <c r="E21">
        <v>1.2077891988765399</v>
      </c>
      <c r="F21">
        <v>1.4455660745841401</v>
      </c>
      <c r="G21">
        <v>0.2</v>
      </c>
      <c r="H21" s="1">
        <v>45.1</v>
      </c>
      <c r="I21" s="1">
        <v>9.5</v>
      </c>
      <c r="J21" s="1">
        <v>40.200000000000003</v>
      </c>
      <c r="K21" s="1">
        <v>3.2</v>
      </c>
      <c r="L21" s="1">
        <v>2</v>
      </c>
    </row>
    <row r="22" spans="1:12" x14ac:dyDescent="0.25">
      <c r="A22">
        <v>2.9281559182344999E-2</v>
      </c>
      <c r="B22">
        <v>0.64836201451389996</v>
      </c>
      <c r="C22">
        <v>0.315437361570436</v>
      </c>
      <c r="D22">
        <v>6.9190647333187997E-3</v>
      </c>
      <c r="E22">
        <v>0.37924654828637999</v>
      </c>
      <c r="F22">
        <v>0.57227909646839403</v>
      </c>
      <c r="G22">
        <v>0.2</v>
      </c>
      <c r="H22" s="1">
        <v>56.9</v>
      </c>
      <c r="I22" s="1">
        <v>10.3</v>
      </c>
      <c r="J22" s="1">
        <v>24.9</v>
      </c>
      <c r="K22" s="1">
        <v>4.9000000000000004</v>
      </c>
      <c r="L22" s="1">
        <v>3</v>
      </c>
    </row>
    <row r="23" spans="1:12" x14ac:dyDescent="0.25">
      <c r="A23">
        <v>7.7088820162017499E-2</v>
      </c>
      <c r="B23">
        <v>0.44091363002429002</v>
      </c>
      <c r="C23">
        <v>0.48195091997047201</v>
      </c>
      <c r="D23">
        <v>4.6629843220777799E-5</v>
      </c>
      <c r="E23">
        <v>-9.4406020037239094E-2</v>
      </c>
      <c r="F23">
        <v>7.1198295306388895E-2</v>
      </c>
      <c r="G23">
        <v>0.2</v>
      </c>
      <c r="H23" s="1">
        <v>59.1</v>
      </c>
      <c r="I23" s="1">
        <v>6.9</v>
      </c>
      <c r="J23" s="1">
        <v>28.5</v>
      </c>
      <c r="K23" s="1">
        <v>2.9</v>
      </c>
      <c r="L23" s="1">
        <v>2.6</v>
      </c>
    </row>
    <row r="24" spans="1:12" x14ac:dyDescent="0.25">
      <c r="A24">
        <v>2.52887999153425E-2</v>
      </c>
      <c r="B24">
        <v>0.55969765445738495</v>
      </c>
      <c r="C24">
        <v>0.41485764353552801</v>
      </c>
      <c r="D24">
        <v>1.5590209174446199E-4</v>
      </c>
      <c r="E24">
        <v>0.26667573783169701</v>
      </c>
      <c r="F24">
        <v>0.408498823114053</v>
      </c>
      <c r="G24">
        <v>0.2</v>
      </c>
      <c r="H24" s="1">
        <v>58.3</v>
      </c>
      <c r="I24" s="1">
        <v>7.8</v>
      </c>
      <c r="J24" s="1">
        <v>27.5</v>
      </c>
      <c r="K24" s="1">
        <v>3</v>
      </c>
      <c r="L24" s="1">
        <v>3.4</v>
      </c>
    </row>
    <row r="25" spans="1:12" x14ac:dyDescent="0.25">
      <c r="A25">
        <v>0.152513445947456</v>
      </c>
      <c r="B25">
        <v>0.23814138699083701</v>
      </c>
      <c r="C25">
        <v>0.60929167272752605</v>
      </c>
      <c r="D25">
        <v>5.3494334180571297E-5</v>
      </c>
      <c r="E25">
        <v>-0.52949931716148502</v>
      </c>
      <c r="F25">
        <v>-0.68325783797914097</v>
      </c>
      <c r="G25">
        <v>0.2</v>
      </c>
      <c r="H25" s="1">
        <v>55.5</v>
      </c>
      <c r="I25" s="1">
        <v>4.7</v>
      </c>
      <c r="J25" s="1">
        <v>30.4</v>
      </c>
      <c r="K25" s="1">
        <v>4.0999999999999996</v>
      </c>
      <c r="L25" s="1">
        <v>5.3</v>
      </c>
    </row>
    <row r="26" spans="1:12" x14ac:dyDescent="0.25">
      <c r="A26">
        <v>0.11311915183098201</v>
      </c>
      <c r="B26">
        <v>0.181529280389716</v>
      </c>
      <c r="C26">
        <v>0.70535156777930197</v>
      </c>
      <c r="D26">
        <v>0</v>
      </c>
      <c r="E26">
        <v>-1.07589491851161</v>
      </c>
      <c r="F26">
        <v>-1.01293757538559</v>
      </c>
      <c r="G26">
        <v>0.2</v>
      </c>
      <c r="H26" s="1">
        <v>46.3</v>
      </c>
      <c r="I26" s="1">
        <v>7.2</v>
      </c>
      <c r="J26" s="1">
        <v>25</v>
      </c>
      <c r="K26" s="1">
        <v>19.7</v>
      </c>
      <c r="L26" s="1">
        <v>1.8</v>
      </c>
    </row>
    <row r="27" spans="1:12" x14ac:dyDescent="0.25">
      <c r="A27">
        <v>5.8743057389236096E-3</v>
      </c>
      <c r="B27">
        <v>0.43723389214234998</v>
      </c>
      <c r="C27">
        <v>0.55674073194146501</v>
      </c>
      <c r="D27">
        <v>1.51070177262131E-4</v>
      </c>
      <c r="E27">
        <v>-0.426581499563981</v>
      </c>
      <c r="F27">
        <v>0.11565391582760701</v>
      </c>
      <c r="G27">
        <v>0.2</v>
      </c>
      <c r="H27" s="1">
        <v>51.8</v>
      </c>
      <c r="I27" s="1">
        <v>15.2</v>
      </c>
      <c r="J27" s="1">
        <v>24.5</v>
      </c>
      <c r="K27" s="1">
        <v>4.7</v>
      </c>
      <c r="L27" s="1">
        <v>3.8</v>
      </c>
    </row>
    <row r="28" spans="1:12" x14ac:dyDescent="0.25">
      <c r="A28">
        <v>9.35906161883127E-2</v>
      </c>
      <c r="B28">
        <v>0.28748783016402002</v>
      </c>
      <c r="C28">
        <v>0.61892155364766799</v>
      </c>
      <c r="D28">
        <v>0</v>
      </c>
      <c r="E28">
        <v>-0.604146251780599</v>
      </c>
      <c r="F28">
        <v>-0.55722886713625897</v>
      </c>
      <c r="G28">
        <v>0.2</v>
      </c>
      <c r="H28" s="1">
        <v>41</v>
      </c>
      <c r="I28" s="1">
        <v>6.1</v>
      </c>
      <c r="J28" s="1">
        <v>42.4</v>
      </c>
      <c r="K28" s="1">
        <v>4.4000000000000004</v>
      </c>
      <c r="L28" s="1">
        <v>6.1</v>
      </c>
    </row>
    <row r="29" spans="1:12" x14ac:dyDescent="0.25">
      <c r="A29">
        <v>5.7776262286214101E-3</v>
      </c>
      <c r="B29">
        <v>0.85981376803325604</v>
      </c>
      <c r="C29">
        <v>0.134330977574358</v>
      </c>
      <c r="D29">
        <v>7.7628163764730193E-5</v>
      </c>
      <c r="E29">
        <v>2.2562526000132599</v>
      </c>
      <c r="F29">
        <v>1.54280228408299</v>
      </c>
      <c r="G29">
        <v>0.3</v>
      </c>
      <c r="H29" s="2">
        <v>55.4</v>
      </c>
      <c r="I29" s="2">
        <v>10.1</v>
      </c>
      <c r="J29" s="5">
        <v>27</v>
      </c>
      <c r="K29" s="2">
        <v>5.6</v>
      </c>
      <c r="L29" s="2">
        <v>1.9</v>
      </c>
    </row>
    <row r="30" spans="1:12" x14ac:dyDescent="0.25">
      <c r="A30">
        <v>0.67329501066893505</v>
      </c>
      <c r="B30">
        <v>5.6667793803854899E-3</v>
      </c>
      <c r="C30">
        <v>0.321038209950679</v>
      </c>
      <c r="D30">
        <v>0</v>
      </c>
      <c r="E30">
        <v>-1.48901355346549</v>
      </c>
      <c r="F30">
        <v>-2.0744356825170298</v>
      </c>
      <c r="G30">
        <v>0.3</v>
      </c>
      <c r="H30" s="2">
        <v>20.7</v>
      </c>
      <c r="I30" s="2">
        <v>1.6</v>
      </c>
      <c r="J30" s="2">
        <v>13.1</v>
      </c>
      <c r="K30" s="5">
        <v>63</v>
      </c>
      <c r="L30" s="2">
        <v>1.6</v>
      </c>
    </row>
    <row r="31" spans="1:12" x14ac:dyDescent="0.25">
      <c r="A31">
        <v>2.2299433987198199E-2</v>
      </c>
      <c r="B31">
        <v>0.44649680698795902</v>
      </c>
      <c r="C31">
        <v>0.53087943238650404</v>
      </c>
      <c r="D31">
        <v>3.2432663833810801E-4</v>
      </c>
      <c r="E31">
        <v>3.95014528912353E-2</v>
      </c>
      <c r="F31">
        <v>0.16575397399428801</v>
      </c>
      <c r="G31">
        <v>0.3</v>
      </c>
      <c r="H31" s="3">
        <v>70.400000000000006</v>
      </c>
      <c r="I31" s="4">
        <v>10.3</v>
      </c>
      <c r="J31" s="3">
        <v>12.8</v>
      </c>
      <c r="K31" s="3">
        <v>3.9</v>
      </c>
      <c r="L31" s="4">
        <v>2.6</v>
      </c>
    </row>
    <row r="32" spans="1:12" x14ac:dyDescent="0.25">
      <c r="A32">
        <v>7.0708867001046796E-2</v>
      </c>
      <c r="B32">
        <v>0.42653135184144902</v>
      </c>
      <c r="C32">
        <v>0.50121721370554295</v>
      </c>
      <c r="D32">
        <v>1.54256745196149E-3</v>
      </c>
      <c r="E32">
        <v>-0.219400038419792</v>
      </c>
      <c r="F32">
        <v>-7.6147992742301995E-2</v>
      </c>
      <c r="G32">
        <v>0.3</v>
      </c>
      <c r="H32" s="2">
        <v>29.1</v>
      </c>
      <c r="I32" s="2">
        <v>11.4</v>
      </c>
      <c r="J32" s="2">
        <v>10.4</v>
      </c>
      <c r="K32" s="2">
        <v>47.5</v>
      </c>
      <c r="L32" s="5">
        <v>1.6</v>
      </c>
    </row>
    <row r="33" spans="1:12" x14ac:dyDescent="0.25">
      <c r="A33">
        <v>0.30873503293003601</v>
      </c>
      <c r="B33">
        <v>0.23877579544959901</v>
      </c>
      <c r="C33">
        <v>0.452489171620365</v>
      </c>
      <c r="D33">
        <v>0</v>
      </c>
      <c r="E33">
        <v>-0.83838782484863394</v>
      </c>
      <c r="F33">
        <v>-0.92684773444703406</v>
      </c>
      <c r="G33">
        <v>0.3</v>
      </c>
      <c r="H33" s="2">
        <v>42.7</v>
      </c>
      <c r="I33" s="2">
        <v>5.7</v>
      </c>
      <c r="J33" s="2">
        <v>33.4</v>
      </c>
      <c r="K33" s="2">
        <v>13.2</v>
      </c>
      <c r="L33" s="2">
        <v>5.0999999999999996</v>
      </c>
    </row>
    <row r="34" spans="1:12" x14ac:dyDescent="0.25">
      <c r="A34">
        <v>3.0558527085207801E-2</v>
      </c>
      <c r="B34">
        <v>0.71844426012819396</v>
      </c>
      <c r="C34">
        <v>0.247009240887336</v>
      </c>
      <c r="D34">
        <v>3.9879718992617197E-3</v>
      </c>
      <c r="E34">
        <v>1.1278638858897201</v>
      </c>
      <c r="F34">
        <v>1.0091032268294899</v>
      </c>
      <c r="G34">
        <v>0.3</v>
      </c>
      <c r="H34" s="2">
        <v>63.1</v>
      </c>
      <c r="I34" s="2">
        <v>6.1</v>
      </c>
      <c r="J34" s="2">
        <v>25.7</v>
      </c>
      <c r="K34" s="2">
        <v>2.4</v>
      </c>
      <c r="L34" s="2">
        <v>2.7</v>
      </c>
    </row>
    <row r="35" spans="1:12" x14ac:dyDescent="0.25">
      <c r="A35">
        <v>3.0312368083723101E-3</v>
      </c>
      <c r="B35">
        <v>0.81449516576653702</v>
      </c>
      <c r="C35">
        <v>0.180628097768496</v>
      </c>
      <c r="D35">
        <v>1.84549965659506E-3</v>
      </c>
      <c r="E35">
        <v>1.2077891988765399</v>
      </c>
      <c r="F35">
        <v>1.4455660745841401</v>
      </c>
      <c r="G35">
        <v>0.3</v>
      </c>
      <c r="H35" s="2">
        <v>44.5</v>
      </c>
      <c r="I35" s="2">
        <v>9.8000000000000007</v>
      </c>
      <c r="J35" s="2">
        <v>40.200000000000003</v>
      </c>
      <c r="K35" s="2">
        <v>3.2</v>
      </c>
      <c r="L35" s="2">
        <v>2.2000000000000002</v>
      </c>
    </row>
    <row r="36" spans="1:12" x14ac:dyDescent="0.25">
      <c r="A36">
        <v>2.9281559182344999E-2</v>
      </c>
      <c r="B36">
        <v>0.64836201451389996</v>
      </c>
      <c r="C36">
        <v>0.315437361570436</v>
      </c>
      <c r="D36">
        <v>6.9190647333187997E-3</v>
      </c>
      <c r="E36">
        <v>0.37924654828637999</v>
      </c>
      <c r="F36">
        <v>0.57227909646839403</v>
      </c>
      <c r="G36">
        <v>0.3</v>
      </c>
      <c r="H36" s="2">
        <v>56.3</v>
      </c>
      <c r="I36" s="2">
        <v>10.3</v>
      </c>
      <c r="J36" s="2">
        <v>25.9</v>
      </c>
      <c r="K36" s="2">
        <v>4.5999999999999996</v>
      </c>
      <c r="L36" s="5">
        <v>3</v>
      </c>
    </row>
    <row r="37" spans="1:12" x14ac:dyDescent="0.25">
      <c r="A37">
        <v>7.7088820162017499E-2</v>
      </c>
      <c r="B37">
        <v>0.44091363002429002</v>
      </c>
      <c r="C37">
        <v>0.48195091997047201</v>
      </c>
      <c r="D37">
        <v>4.6629843220777799E-5</v>
      </c>
      <c r="E37">
        <v>-9.4406020037239094E-2</v>
      </c>
      <c r="F37">
        <v>7.1198295306388895E-2</v>
      </c>
      <c r="G37">
        <v>0.3</v>
      </c>
      <c r="H37" s="2">
        <v>59.4</v>
      </c>
      <c r="I37" s="5">
        <v>7</v>
      </c>
      <c r="J37" s="2">
        <v>27.9</v>
      </c>
      <c r="K37" s="5">
        <v>3</v>
      </c>
      <c r="L37" s="5">
        <v>2.7</v>
      </c>
    </row>
    <row r="38" spans="1:12" x14ac:dyDescent="0.25">
      <c r="A38">
        <v>2.52887999153425E-2</v>
      </c>
      <c r="B38">
        <v>0.55969765445738495</v>
      </c>
      <c r="C38">
        <v>0.41485764353552801</v>
      </c>
      <c r="D38">
        <v>1.5590209174446199E-4</v>
      </c>
      <c r="E38">
        <v>0.26667573783169701</v>
      </c>
      <c r="F38">
        <v>0.408498823114053</v>
      </c>
      <c r="G38">
        <v>0.3</v>
      </c>
      <c r="H38" s="2">
        <v>59.2</v>
      </c>
      <c r="I38" s="2">
        <v>7.3</v>
      </c>
      <c r="J38" s="2">
        <v>26.9</v>
      </c>
      <c r="K38" s="2">
        <v>3.1</v>
      </c>
      <c r="L38" s="2">
        <v>3.4</v>
      </c>
    </row>
    <row r="39" spans="1:12" x14ac:dyDescent="0.25">
      <c r="A39">
        <v>0.152513445947456</v>
      </c>
      <c r="B39">
        <v>0.23814138699083701</v>
      </c>
      <c r="C39">
        <v>0.60929167272752605</v>
      </c>
      <c r="D39">
        <v>5.3494334180571297E-5</v>
      </c>
      <c r="E39">
        <v>-0.52949931716148502</v>
      </c>
      <c r="F39">
        <v>-0.68325783797914097</v>
      </c>
      <c r="G39">
        <v>0.3</v>
      </c>
      <c r="H39" s="4">
        <v>55.5</v>
      </c>
      <c r="I39" s="3">
        <v>4.5</v>
      </c>
      <c r="J39" s="3">
        <v>30.3</v>
      </c>
      <c r="K39" s="3">
        <v>4.2</v>
      </c>
      <c r="L39" s="3">
        <v>5.5</v>
      </c>
    </row>
    <row r="40" spans="1:12" x14ac:dyDescent="0.25">
      <c r="A40">
        <v>0.11311915183098201</v>
      </c>
      <c r="B40">
        <v>0.181529280389716</v>
      </c>
      <c r="C40">
        <v>0.70535156777930197</v>
      </c>
      <c r="D40">
        <v>0</v>
      </c>
      <c r="E40">
        <v>-1.07589491851161</v>
      </c>
      <c r="F40">
        <v>-1.01293757538559</v>
      </c>
      <c r="G40">
        <v>0.3</v>
      </c>
      <c r="H40" s="2">
        <v>45.3</v>
      </c>
      <c r="I40" s="5">
        <v>7</v>
      </c>
      <c r="J40" s="5">
        <v>25.1</v>
      </c>
      <c r="K40" s="2">
        <v>20.7</v>
      </c>
      <c r="L40" s="2">
        <v>1.9</v>
      </c>
    </row>
    <row r="41" spans="1:12" x14ac:dyDescent="0.25">
      <c r="A41">
        <v>5.8743057389236096E-3</v>
      </c>
      <c r="B41">
        <v>0.43723389214234998</v>
      </c>
      <c r="C41">
        <v>0.55674073194146501</v>
      </c>
      <c r="D41">
        <v>1.51070177262131E-4</v>
      </c>
      <c r="E41">
        <v>-0.426581499563981</v>
      </c>
      <c r="F41">
        <v>0.11565391582760701</v>
      </c>
      <c r="G41">
        <v>0.3</v>
      </c>
      <c r="H41" s="2">
        <v>51.1</v>
      </c>
      <c r="I41" s="2">
        <v>15.3</v>
      </c>
      <c r="J41" s="2">
        <v>24.7</v>
      </c>
      <c r="K41" s="2">
        <v>4.8</v>
      </c>
      <c r="L41" s="2">
        <v>4.0999999999999996</v>
      </c>
    </row>
    <row r="42" spans="1:12" x14ac:dyDescent="0.25">
      <c r="A42">
        <v>9.35906161883127E-2</v>
      </c>
      <c r="B42">
        <v>0.28748783016402002</v>
      </c>
      <c r="C42">
        <v>0.61892155364766799</v>
      </c>
      <c r="D42">
        <v>0</v>
      </c>
      <c r="E42">
        <v>-0.604146251780599</v>
      </c>
      <c r="F42">
        <v>-0.55722886713625897</v>
      </c>
      <c r="G42">
        <v>0.3</v>
      </c>
      <c r="H42" s="2">
        <v>40.4</v>
      </c>
      <c r="I42" s="2">
        <v>5.5</v>
      </c>
      <c r="J42" s="5">
        <v>43</v>
      </c>
      <c r="K42" s="2">
        <v>4.7</v>
      </c>
      <c r="L42" s="2">
        <v>6.5</v>
      </c>
    </row>
    <row r="43" spans="1:12" x14ac:dyDescent="0.25">
      <c r="A43">
        <v>5.7776262286214101E-3</v>
      </c>
      <c r="B43">
        <v>0.85981376803325604</v>
      </c>
      <c r="C43">
        <v>0.134330977574358</v>
      </c>
      <c r="D43">
        <v>7.7628163764730193E-5</v>
      </c>
      <c r="E43">
        <v>2.2562526000132599</v>
      </c>
      <c r="F43">
        <v>1.54280228408299</v>
      </c>
      <c r="G43">
        <v>0.4</v>
      </c>
      <c r="H43" s="2">
        <v>60.1</v>
      </c>
      <c r="I43" s="2">
        <v>11.4</v>
      </c>
      <c r="J43" s="2">
        <v>20.9</v>
      </c>
      <c r="K43" s="2">
        <v>6.4</v>
      </c>
      <c r="L43" s="2">
        <v>1.3</v>
      </c>
    </row>
    <row r="44" spans="1:12" x14ac:dyDescent="0.25">
      <c r="A44">
        <v>0.67329501066893505</v>
      </c>
      <c r="B44">
        <v>5.6667793803854899E-3</v>
      </c>
      <c r="C44">
        <v>0.321038209950679</v>
      </c>
      <c r="D44">
        <v>0</v>
      </c>
      <c r="E44">
        <v>-1.48901355346549</v>
      </c>
      <c r="F44">
        <v>-2.0744356825170298</v>
      </c>
      <c r="G44">
        <v>0.4</v>
      </c>
      <c r="H44" s="2">
        <v>20.8</v>
      </c>
      <c r="I44" s="2">
        <v>1.4</v>
      </c>
      <c r="J44" s="2">
        <v>8.9</v>
      </c>
      <c r="K44" s="2">
        <v>67.7</v>
      </c>
      <c r="L44" s="2">
        <v>1.3</v>
      </c>
    </row>
    <row r="45" spans="1:12" x14ac:dyDescent="0.25">
      <c r="A45">
        <v>2.2299433987198199E-2</v>
      </c>
      <c r="B45">
        <v>0.44649680698795902</v>
      </c>
      <c r="C45">
        <v>0.53087943238650404</v>
      </c>
      <c r="D45">
        <v>3.2432663833810801E-4</v>
      </c>
      <c r="E45">
        <v>3.95014528912353E-2</v>
      </c>
      <c r="F45">
        <v>0.16575397399428801</v>
      </c>
      <c r="G45">
        <v>0.4</v>
      </c>
      <c r="H45" s="3">
        <v>73.099999999999994</v>
      </c>
      <c r="I45" s="4">
        <v>11</v>
      </c>
      <c r="J45" s="3">
        <v>9.6</v>
      </c>
      <c r="K45" s="3">
        <v>4.4000000000000004</v>
      </c>
      <c r="L45" s="4">
        <v>2</v>
      </c>
    </row>
    <row r="46" spans="1:12" x14ac:dyDescent="0.25">
      <c r="A46">
        <v>7.0708867001046796E-2</v>
      </c>
      <c r="B46">
        <v>0.42653135184144902</v>
      </c>
      <c r="C46">
        <v>0.50121721370554295</v>
      </c>
      <c r="D46">
        <v>1.54256745196149E-3</v>
      </c>
      <c r="E46">
        <v>-0.219400038419792</v>
      </c>
      <c r="F46">
        <v>-7.6147992742301995E-2</v>
      </c>
      <c r="G46">
        <v>0.4</v>
      </c>
      <c r="H46" s="2">
        <v>30.2</v>
      </c>
      <c r="I46" s="2">
        <v>11.7</v>
      </c>
      <c r="J46" s="2">
        <v>8.4</v>
      </c>
      <c r="K46" s="2">
        <v>48.4</v>
      </c>
      <c r="L46" s="5">
        <v>1</v>
      </c>
    </row>
    <row r="47" spans="1:12" x14ac:dyDescent="0.25">
      <c r="A47">
        <v>0.30873503293003601</v>
      </c>
      <c r="B47">
        <v>0.23877579544959901</v>
      </c>
      <c r="C47">
        <v>0.452489171620365</v>
      </c>
      <c r="D47">
        <v>0</v>
      </c>
      <c r="E47">
        <v>-0.83838782484863394</v>
      </c>
      <c r="F47">
        <v>-0.92684773444703406</v>
      </c>
      <c r="G47">
        <v>0.4</v>
      </c>
      <c r="H47" s="2">
        <v>47.6</v>
      </c>
      <c r="I47" s="2">
        <v>6.1</v>
      </c>
      <c r="J47" s="2">
        <v>28.6</v>
      </c>
      <c r="K47" s="2">
        <v>14.5</v>
      </c>
      <c r="L47" s="2">
        <v>3.2</v>
      </c>
    </row>
    <row r="48" spans="1:12" x14ac:dyDescent="0.25">
      <c r="A48">
        <v>3.0558527085207801E-2</v>
      </c>
      <c r="B48">
        <v>0.71844426012819396</v>
      </c>
      <c r="C48">
        <v>0.247009240887336</v>
      </c>
      <c r="D48">
        <v>3.9879718992617197E-3</v>
      </c>
      <c r="E48">
        <v>1.1278638858897201</v>
      </c>
      <c r="F48">
        <v>1.0091032268294899</v>
      </c>
      <c r="G48">
        <v>0.4</v>
      </c>
      <c r="H48" s="2">
        <v>70.099999999999994</v>
      </c>
      <c r="I48" s="2">
        <v>6.9</v>
      </c>
      <c r="J48" s="2">
        <v>18.8</v>
      </c>
      <c r="K48" s="2">
        <v>2.5</v>
      </c>
      <c r="L48" s="2">
        <v>1.7</v>
      </c>
    </row>
    <row r="49" spans="1:12" x14ac:dyDescent="0.25">
      <c r="A49">
        <v>3.0312368083723101E-3</v>
      </c>
      <c r="B49">
        <v>0.81449516576653702</v>
      </c>
      <c r="C49">
        <v>0.180628097768496</v>
      </c>
      <c r="D49">
        <v>1.84549965659506E-3</v>
      </c>
      <c r="E49">
        <v>1.2077891988765399</v>
      </c>
      <c r="F49">
        <v>1.4455660745841401</v>
      </c>
      <c r="G49">
        <v>0.4</v>
      </c>
      <c r="H49" s="2">
        <v>48.3</v>
      </c>
      <c r="I49" s="2">
        <v>12.7</v>
      </c>
      <c r="J49" s="2">
        <v>33.700000000000003</v>
      </c>
      <c r="K49" s="2">
        <v>3.4</v>
      </c>
      <c r="L49" s="2">
        <v>2</v>
      </c>
    </row>
    <row r="50" spans="1:12" x14ac:dyDescent="0.25">
      <c r="A50">
        <v>2.9281559182344999E-2</v>
      </c>
      <c r="B50">
        <v>0.64836201451389996</v>
      </c>
      <c r="C50">
        <v>0.315437361570436</v>
      </c>
      <c r="D50">
        <v>6.9190647333187997E-3</v>
      </c>
      <c r="E50">
        <v>0.37924654828637999</v>
      </c>
      <c r="F50">
        <v>0.57227909646839403</v>
      </c>
      <c r="G50">
        <v>0.4</v>
      </c>
      <c r="H50" s="2">
        <v>61.1</v>
      </c>
      <c r="I50" s="2">
        <v>11.1</v>
      </c>
      <c r="J50" s="2">
        <v>20.7</v>
      </c>
      <c r="K50" s="2">
        <v>4.8</v>
      </c>
      <c r="L50" s="2">
        <v>2.4</v>
      </c>
    </row>
    <row r="51" spans="1:12" x14ac:dyDescent="0.25">
      <c r="A51">
        <v>7.7088820162017499E-2</v>
      </c>
      <c r="B51">
        <v>0.44091363002429002</v>
      </c>
      <c r="C51">
        <v>0.48195091997047201</v>
      </c>
      <c r="D51">
        <v>4.6629843220777799E-5</v>
      </c>
      <c r="E51">
        <v>-9.4406020037239094E-2</v>
      </c>
      <c r="F51">
        <v>7.1198295306388895E-2</v>
      </c>
      <c r="G51">
        <v>0.4</v>
      </c>
      <c r="H51" s="2">
        <v>60.9</v>
      </c>
      <c r="I51" s="2">
        <v>8.6999999999999993</v>
      </c>
      <c r="J51" s="2">
        <v>25.2</v>
      </c>
      <c r="K51" s="2">
        <v>3.3</v>
      </c>
      <c r="L51" s="5">
        <v>2</v>
      </c>
    </row>
    <row r="52" spans="1:12" x14ac:dyDescent="0.25">
      <c r="A52">
        <v>2.52887999153425E-2</v>
      </c>
      <c r="B52">
        <v>0.55969765445738495</v>
      </c>
      <c r="C52">
        <v>0.41485764353552801</v>
      </c>
      <c r="D52">
        <v>1.5590209174446199E-4</v>
      </c>
      <c r="E52">
        <v>0.26667573783169701</v>
      </c>
      <c r="F52">
        <v>0.408498823114053</v>
      </c>
      <c r="G52">
        <v>0.4</v>
      </c>
      <c r="H52" s="2">
        <v>64.7</v>
      </c>
      <c r="I52" s="2">
        <v>8.6</v>
      </c>
      <c r="J52" s="2">
        <v>19.899999999999999</v>
      </c>
      <c r="K52" s="2">
        <v>3.3</v>
      </c>
      <c r="L52" s="2">
        <v>3.5</v>
      </c>
    </row>
    <row r="53" spans="1:12" x14ac:dyDescent="0.25">
      <c r="A53">
        <v>0.152513445947456</v>
      </c>
      <c r="B53">
        <v>0.23814138699083701</v>
      </c>
      <c r="C53">
        <v>0.60929167272752605</v>
      </c>
      <c r="D53">
        <v>5.3494334180571297E-5</v>
      </c>
      <c r="E53">
        <v>-0.52949931716148502</v>
      </c>
      <c r="F53">
        <v>-0.68325783797914097</v>
      </c>
      <c r="G53">
        <v>0.4</v>
      </c>
      <c r="H53" s="4">
        <v>61</v>
      </c>
      <c r="I53" s="3">
        <v>5.2</v>
      </c>
      <c r="J53" s="3">
        <v>24.9</v>
      </c>
      <c r="K53" s="3">
        <v>4.4000000000000004</v>
      </c>
      <c r="L53" s="3">
        <v>4.5</v>
      </c>
    </row>
    <row r="54" spans="1:12" x14ac:dyDescent="0.25">
      <c r="A54">
        <v>0.11311915183098201</v>
      </c>
      <c r="B54">
        <v>0.181529280389716</v>
      </c>
      <c r="C54">
        <v>0.70535156777930197</v>
      </c>
      <c r="D54">
        <v>0</v>
      </c>
      <c r="E54">
        <v>-1.07589491851161</v>
      </c>
      <c r="F54">
        <v>-1.01293757538559</v>
      </c>
      <c r="G54">
        <v>0.4</v>
      </c>
      <c r="H54" s="2">
        <v>50.7</v>
      </c>
      <c r="I54" s="2">
        <v>7.1</v>
      </c>
      <c r="J54" s="5">
        <v>18</v>
      </c>
      <c r="K54" s="2">
        <v>22.9</v>
      </c>
      <c r="L54" s="2">
        <v>1.2</v>
      </c>
    </row>
    <row r="55" spans="1:12" x14ac:dyDescent="0.25">
      <c r="A55">
        <v>5.8743057389236096E-3</v>
      </c>
      <c r="B55">
        <v>0.43723389214234998</v>
      </c>
      <c r="C55">
        <v>0.55674073194146501</v>
      </c>
      <c r="D55">
        <v>1.51070177262131E-4</v>
      </c>
      <c r="E55">
        <v>-0.426581499563981</v>
      </c>
      <c r="F55">
        <v>0.11565391582760701</v>
      </c>
      <c r="G55">
        <v>0.4</v>
      </c>
      <c r="H55" s="2">
        <v>55.5</v>
      </c>
      <c r="I55" s="2">
        <v>16.600000000000001</v>
      </c>
      <c r="J55" s="2">
        <v>18.899999999999999</v>
      </c>
      <c r="K55" s="2">
        <v>4.8</v>
      </c>
      <c r="L55" s="2">
        <v>4.2</v>
      </c>
    </row>
    <row r="56" spans="1:12" x14ac:dyDescent="0.25">
      <c r="A56">
        <v>9.35906161883127E-2</v>
      </c>
      <c r="B56">
        <v>0.28748783016402002</v>
      </c>
      <c r="C56">
        <v>0.61892155364766799</v>
      </c>
      <c r="D56">
        <v>0</v>
      </c>
      <c r="E56">
        <v>-0.604146251780599</v>
      </c>
      <c r="F56">
        <v>-0.55722886713625897</v>
      </c>
      <c r="G56">
        <v>0.4</v>
      </c>
      <c r="H56" s="2">
        <v>48.5</v>
      </c>
      <c r="I56" s="2">
        <v>6.7</v>
      </c>
      <c r="J56" s="2">
        <v>35.5</v>
      </c>
      <c r="K56" s="2">
        <v>5.6</v>
      </c>
      <c r="L56" s="2">
        <v>3.7</v>
      </c>
    </row>
    <row r="57" spans="1:12" x14ac:dyDescent="0.25">
      <c r="A57">
        <v>5.7776262286214101E-3</v>
      </c>
      <c r="B57">
        <v>0.85981376803325604</v>
      </c>
      <c r="C57">
        <v>0.134330977574358</v>
      </c>
      <c r="D57">
        <v>7.7628163764730193E-5</v>
      </c>
      <c r="E57">
        <v>2.2562526000132599</v>
      </c>
      <c r="F57">
        <v>1.54280228408299</v>
      </c>
      <c r="G57">
        <v>0.5</v>
      </c>
      <c r="H57" s="2">
        <v>57.4</v>
      </c>
      <c r="I57" s="2">
        <v>10.8</v>
      </c>
      <c r="J57" s="5">
        <v>24</v>
      </c>
      <c r="K57" s="2">
        <v>5.8</v>
      </c>
      <c r="L57" s="2">
        <v>2.1</v>
      </c>
    </row>
    <row r="58" spans="1:12" x14ac:dyDescent="0.25">
      <c r="A58">
        <v>0.67329501066893505</v>
      </c>
      <c r="B58">
        <v>5.6667793803854899E-3</v>
      </c>
      <c r="C58">
        <v>0.321038209950679</v>
      </c>
      <c r="D58">
        <v>0</v>
      </c>
      <c r="E58">
        <v>-1.48901355346549</v>
      </c>
      <c r="F58">
        <v>-2.0744356825170298</v>
      </c>
      <c r="G58">
        <v>0.5</v>
      </c>
      <c r="H58" s="2">
        <v>19.7</v>
      </c>
      <c r="I58" s="2">
        <v>1.4</v>
      </c>
      <c r="J58" s="2">
        <v>10.3</v>
      </c>
      <c r="K58" s="2">
        <v>66.7</v>
      </c>
      <c r="L58" s="2">
        <v>1.8</v>
      </c>
    </row>
    <row r="59" spans="1:12" x14ac:dyDescent="0.25">
      <c r="A59">
        <v>2.2299433987198199E-2</v>
      </c>
      <c r="B59">
        <v>0.44649680698795902</v>
      </c>
      <c r="C59">
        <v>0.53087943238650404</v>
      </c>
      <c r="D59">
        <v>3.2432663833810801E-4</v>
      </c>
      <c r="E59">
        <v>3.95014528912353E-2</v>
      </c>
      <c r="F59">
        <v>0.16575397399428801</v>
      </c>
      <c r="G59">
        <v>0.5</v>
      </c>
      <c r="H59" s="3">
        <v>70.400000000000006</v>
      </c>
      <c r="I59" s="3">
        <v>9.9</v>
      </c>
      <c r="J59" s="3">
        <v>13.2</v>
      </c>
      <c r="K59" s="3">
        <v>3.9</v>
      </c>
      <c r="L59" s="3">
        <v>2.6</v>
      </c>
    </row>
    <row r="60" spans="1:12" x14ac:dyDescent="0.25">
      <c r="A60">
        <v>7.0708867001046796E-2</v>
      </c>
      <c r="B60">
        <v>0.42653135184144902</v>
      </c>
      <c r="C60">
        <v>0.50121721370554295</v>
      </c>
      <c r="D60">
        <v>1.54256745196149E-3</v>
      </c>
      <c r="E60">
        <v>-0.219400038419792</v>
      </c>
      <c r="F60">
        <v>-7.6147992742301995E-2</v>
      </c>
      <c r="G60">
        <v>0.5</v>
      </c>
      <c r="H60" s="2">
        <v>28.3</v>
      </c>
      <c r="I60" s="2">
        <v>11.4</v>
      </c>
      <c r="J60" s="2">
        <v>8.1</v>
      </c>
      <c r="K60" s="2">
        <v>50.6</v>
      </c>
      <c r="L60" s="2">
        <v>1.6</v>
      </c>
    </row>
    <row r="61" spans="1:12" x14ac:dyDescent="0.25">
      <c r="A61">
        <v>0.30873503293003601</v>
      </c>
      <c r="B61">
        <v>0.23877579544959901</v>
      </c>
      <c r="C61">
        <v>0.452489171620365</v>
      </c>
      <c r="D61">
        <v>0</v>
      </c>
      <c r="E61">
        <v>-0.83838782484863394</v>
      </c>
      <c r="F61">
        <v>-0.92684773444703406</v>
      </c>
      <c r="G61">
        <v>0.5</v>
      </c>
      <c r="H61" s="2">
        <v>44.7</v>
      </c>
      <c r="I61" s="2">
        <v>6.5</v>
      </c>
      <c r="J61" s="2">
        <v>30.5</v>
      </c>
      <c r="K61" s="2">
        <v>13.2</v>
      </c>
      <c r="L61" s="2">
        <v>5.2</v>
      </c>
    </row>
    <row r="62" spans="1:12" x14ac:dyDescent="0.25">
      <c r="A62">
        <v>3.0558527085207801E-2</v>
      </c>
      <c r="B62">
        <v>0.71844426012819396</v>
      </c>
      <c r="C62">
        <v>0.247009240887336</v>
      </c>
      <c r="D62">
        <v>3.9879718992617197E-3</v>
      </c>
      <c r="E62">
        <v>1.1278638858897201</v>
      </c>
      <c r="F62">
        <v>1.0091032268294899</v>
      </c>
      <c r="G62">
        <v>0.5</v>
      </c>
      <c r="H62" s="2">
        <v>61.7</v>
      </c>
      <c r="I62" s="2">
        <v>5.7</v>
      </c>
      <c r="J62" s="2">
        <v>21.7</v>
      </c>
      <c r="K62" s="2">
        <v>2.4</v>
      </c>
      <c r="L62" s="2">
        <v>3.1</v>
      </c>
    </row>
    <row r="63" spans="1:12" x14ac:dyDescent="0.25">
      <c r="A63">
        <v>3.0312368083723101E-3</v>
      </c>
      <c r="B63">
        <v>0.81449516576653702</v>
      </c>
      <c r="C63">
        <v>0.180628097768496</v>
      </c>
      <c r="D63">
        <v>1.84549965659506E-3</v>
      </c>
      <c r="E63">
        <v>1.2077891988765399</v>
      </c>
      <c r="F63">
        <v>1.4455660745841401</v>
      </c>
      <c r="G63">
        <v>0.5</v>
      </c>
      <c r="H63" s="2">
        <v>42.3</v>
      </c>
      <c r="I63" s="2">
        <v>10.7</v>
      </c>
      <c r="J63" s="2">
        <v>41.5</v>
      </c>
      <c r="K63" s="2">
        <v>3.1</v>
      </c>
      <c r="L63" s="2">
        <v>2.2999999999999998</v>
      </c>
    </row>
    <row r="64" spans="1:12" x14ac:dyDescent="0.25">
      <c r="A64">
        <v>2.9281559182344999E-2</v>
      </c>
      <c r="B64">
        <v>0.64836201451389996</v>
      </c>
      <c r="C64">
        <v>0.315437361570436</v>
      </c>
      <c r="D64">
        <v>6.9190647333187997E-3</v>
      </c>
      <c r="E64">
        <v>0.37924654828637999</v>
      </c>
      <c r="F64">
        <v>0.57227909646839403</v>
      </c>
      <c r="G64">
        <v>0.5</v>
      </c>
      <c r="H64" s="5">
        <v>56</v>
      </c>
      <c r="I64" s="5">
        <v>10</v>
      </c>
      <c r="J64" s="2">
        <v>26.6</v>
      </c>
      <c r="K64" s="2">
        <v>4.4000000000000004</v>
      </c>
      <c r="L64" s="2">
        <v>3.1</v>
      </c>
    </row>
    <row r="65" spans="1:12" x14ac:dyDescent="0.25">
      <c r="A65">
        <v>7.7088820162017499E-2</v>
      </c>
      <c r="B65">
        <v>0.44091363002429002</v>
      </c>
      <c r="C65">
        <v>0.48195091997047201</v>
      </c>
      <c r="D65">
        <v>4.6629843220777799E-5</v>
      </c>
      <c r="E65">
        <v>-9.4406020037239094E-2</v>
      </c>
      <c r="F65">
        <v>7.1198295306388895E-2</v>
      </c>
      <c r="G65">
        <v>0.5</v>
      </c>
      <c r="H65" s="2">
        <v>59.2</v>
      </c>
      <c r="I65" s="2">
        <v>7.8</v>
      </c>
      <c r="J65" s="2">
        <v>27.7</v>
      </c>
      <c r="K65" s="2">
        <v>2.9</v>
      </c>
      <c r="L65" s="2">
        <v>2.4</v>
      </c>
    </row>
    <row r="66" spans="1:12" x14ac:dyDescent="0.25">
      <c r="A66">
        <v>2.52887999153425E-2</v>
      </c>
      <c r="B66">
        <v>0.55969765445738495</v>
      </c>
      <c r="C66">
        <v>0.41485764353552801</v>
      </c>
      <c r="D66">
        <v>1.5590209174446199E-4</v>
      </c>
      <c r="E66">
        <v>0.26667573783169701</v>
      </c>
      <c r="F66">
        <v>0.408498823114053</v>
      </c>
      <c r="G66">
        <v>0.5</v>
      </c>
      <c r="H66" s="2">
        <v>59.3</v>
      </c>
      <c r="I66" s="5">
        <v>9</v>
      </c>
      <c r="J66" s="2">
        <v>25.2</v>
      </c>
      <c r="K66" s="2">
        <v>3.1</v>
      </c>
      <c r="L66" s="2">
        <v>3.4</v>
      </c>
    </row>
    <row r="67" spans="1:12" x14ac:dyDescent="0.25">
      <c r="A67">
        <v>0.152513445947456</v>
      </c>
      <c r="B67">
        <v>0.23814138699083701</v>
      </c>
      <c r="C67">
        <v>0.60929167272752605</v>
      </c>
      <c r="D67">
        <v>5.3494334180571297E-5</v>
      </c>
      <c r="E67">
        <v>-0.52949931716148502</v>
      </c>
      <c r="F67">
        <v>-0.68325783797914097</v>
      </c>
      <c r="G67">
        <v>0.5</v>
      </c>
      <c r="H67" s="3">
        <v>55.4</v>
      </c>
      <c r="I67" s="3">
        <v>4.5</v>
      </c>
      <c r="J67" s="3">
        <v>30.8</v>
      </c>
      <c r="K67" s="4">
        <v>4</v>
      </c>
      <c r="L67" s="3">
        <v>5.3</v>
      </c>
    </row>
    <row r="68" spans="1:12" x14ac:dyDescent="0.25">
      <c r="A68">
        <v>0.11311915183098201</v>
      </c>
      <c r="B68">
        <v>0.181529280389716</v>
      </c>
      <c r="C68">
        <v>0.70535156777930197</v>
      </c>
      <c r="D68">
        <v>0</v>
      </c>
      <c r="E68">
        <v>-1.07589491851161</v>
      </c>
      <c r="F68">
        <v>-1.01293757538559</v>
      </c>
      <c r="G68">
        <v>0.5</v>
      </c>
      <c r="H68" s="2">
        <v>41.8</v>
      </c>
      <c r="I68" s="2">
        <v>6.7</v>
      </c>
      <c r="J68" s="5">
        <v>21</v>
      </c>
      <c r="K68" s="5">
        <v>22</v>
      </c>
      <c r="L68" s="2">
        <v>2.2000000000000002</v>
      </c>
    </row>
    <row r="69" spans="1:12" x14ac:dyDescent="0.25">
      <c r="A69">
        <v>5.8743057389236096E-3</v>
      </c>
      <c r="B69">
        <v>0.43723389214234998</v>
      </c>
      <c r="C69">
        <v>0.55674073194146501</v>
      </c>
      <c r="D69">
        <v>1.51070177262131E-4</v>
      </c>
      <c r="E69">
        <v>-0.426581499563981</v>
      </c>
      <c r="F69">
        <v>0.11565391582760701</v>
      </c>
      <c r="G69">
        <v>0.5</v>
      </c>
      <c r="H69" s="2">
        <v>53.5</v>
      </c>
      <c r="I69" s="2">
        <v>16.600000000000001</v>
      </c>
      <c r="J69" s="2">
        <v>20.8</v>
      </c>
      <c r="K69" s="2">
        <v>4.8</v>
      </c>
      <c r="L69" s="2">
        <v>4.3</v>
      </c>
    </row>
    <row r="70" spans="1:12" x14ac:dyDescent="0.25">
      <c r="A70">
        <v>9.35906161883127E-2</v>
      </c>
      <c r="B70">
        <v>0.28748783016402002</v>
      </c>
      <c r="C70">
        <v>0.61892155364766799</v>
      </c>
      <c r="D70">
        <v>0</v>
      </c>
      <c r="E70">
        <v>-0.604146251780599</v>
      </c>
      <c r="F70">
        <v>-0.55722886713625897</v>
      </c>
      <c r="G70">
        <v>0.5</v>
      </c>
      <c r="H70" s="5">
        <v>44</v>
      </c>
      <c r="I70" s="2">
        <v>5.8</v>
      </c>
      <c r="J70" s="2">
        <v>37.9</v>
      </c>
      <c r="K70" s="2">
        <v>5.2</v>
      </c>
      <c r="L70" s="2">
        <v>7.2</v>
      </c>
    </row>
    <row r="71" spans="1:12" x14ac:dyDescent="0.25">
      <c r="A71">
        <v>5.7776262286214101E-3</v>
      </c>
      <c r="B71">
        <v>0.85981376803325604</v>
      </c>
      <c r="C71">
        <v>0.134330977574358</v>
      </c>
      <c r="D71">
        <v>7.7628163764730193E-5</v>
      </c>
      <c r="E71">
        <v>2.2562526000132599</v>
      </c>
      <c r="F71">
        <v>1.54280228408299</v>
      </c>
      <c r="G71">
        <v>0.6</v>
      </c>
      <c r="H71" s="2">
        <v>57.4</v>
      </c>
      <c r="I71" s="2">
        <v>12.2</v>
      </c>
      <c r="J71" s="2">
        <v>22.4</v>
      </c>
      <c r="K71" s="2">
        <v>5.9</v>
      </c>
      <c r="L71" s="2">
        <v>2.2000000000000002</v>
      </c>
    </row>
    <row r="72" spans="1:12" x14ac:dyDescent="0.25">
      <c r="A72">
        <v>0.67329501066893505</v>
      </c>
      <c r="B72">
        <v>5.6667793803854899E-3</v>
      </c>
      <c r="C72">
        <v>0.321038209950679</v>
      </c>
      <c r="D72">
        <v>0</v>
      </c>
      <c r="E72">
        <v>-1.48901355346549</v>
      </c>
      <c r="F72">
        <v>-2.0744356825170298</v>
      </c>
      <c r="G72">
        <v>0.6</v>
      </c>
      <c r="H72" s="2">
        <v>18.8</v>
      </c>
      <c r="I72" s="2">
        <v>1.6</v>
      </c>
      <c r="J72" s="2">
        <v>9.3000000000000007</v>
      </c>
      <c r="K72" s="2">
        <v>68.5</v>
      </c>
      <c r="L72" s="2">
        <v>1.8</v>
      </c>
    </row>
    <row r="73" spans="1:12" x14ac:dyDescent="0.25">
      <c r="A73">
        <v>2.2299433987198199E-2</v>
      </c>
      <c r="B73">
        <v>0.44649680698795902</v>
      </c>
      <c r="C73">
        <v>0.53087943238650404</v>
      </c>
      <c r="D73">
        <v>3.2432663833810801E-4</v>
      </c>
      <c r="E73">
        <v>3.95014528912353E-2</v>
      </c>
      <c r="F73">
        <v>0.16575397399428801</v>
      </c>
      <c r="G73">
        <v>0.6</v>
      </c>
      <c r="H73" s="3">
        <v>72.099999999999994</v>
      </c>
      <c r="I73" s="3">
        <v>11.6</v>
      </c>
      <c r="J73" s="3">
        <v>9.8000000000000007</v>
      </c>
      <c r="K73" s="3">
        <v>3.9</v>
      </c>
      <c r="L73" s="3">
        <v>2.6</v>
      </c>
    </row>
    <row r="74" spans="1:12" x14ac:dyDescent="0.25">
      <c r="A74">
        <v>7.0708867001046796E-2</v>
      </c>
      <c r="B74">
        <v>0.42653135184144902</v>
      </c>
      <c r="C74">
        <v>0.50121721370554295</v>
      </c>
      <c r="D74">
        <v>1.54256745196149E-3</v>
      </c>
      <c r="E74">
        <v>-0.219400038419792</v>
      </c>
      <c r="F74">
        <v>-7.6147992742301995E-2</v>
      </c>
      <c r="G74">
        <v>0.6</v>
      </c>
      <c r="H74" s="2">
        <v>26.7</v>
      </c>
      <c r="I74" s="2">
        <v>12.4</v>
      </c>
      <c r="J74" s="2">
        <v>7.3</v>
      </c>
      <c r="K74" s="2">
        <v>52.1</v>
      </c>
      <c r="L74" s="2">
        <v>1.6</v>
      </c>
    </row>
    <row r="75" spans="1:12" x14ac:dyDescent="0.25">
      <c r="A75">
        <v>0.30873503293003601</v>
      </c>
      <c r="B75">
        <v>0.23877579544959901</v>
      </c>
      <c r="C75">
        <v>0.452489171620365</v>
      </c>
      <c r="D75">
        <v>0</v>
      </c>
      <c r="E75">
        <v>-0.83838782484863394</v>
      </c>
      <c r="F75">
        <v>-0.92684773444703406</v>
      </c>
      <c r="G75">
        <v>0.6</v>
      </c>
      <c r="H75" s="2">
        <v>45.3</v>
      </c>
      <c r="I75" s="2">
        <v>7.6</v>
      </c>
      <c r="J75" s="2">
        <v>27.9</v>
      </c>
      <c r="K75" s="2">
        <v>13.7</v>
      </c>
      <c r="L75" s="2">
        <v>5.4</v>
      </c>
    </row>
    <row r="76" spans="1:12" x14ac:dyDescent="0.25">
      <c r="A76">
        <v>3.0558527085207801E-2</v>
      </c>
      <c r="B76">
        <v>0.71844426012819396</v>
      </c>
      <c r="C76">
        <v>0.247009240887336</v>
      </c>
      <c r="D76">
        <v>3.9879718992617197E-3</v>
      </c>
      <c r="E76">
        <v>1.1278638858897201</v>
      </c>
      <c r="F76">
        <v>1.0091032268294899</v>
      </c>
      <c r="G76">
        <v>0.6</v>
      </c>
      <c r="H76" s="2">
        <v>68.099999999999994</v>
      </c>
      <c r="I76" s="2">
        <v>6.1</v>
      </c>
      <c r="J76" s="2">
        <v>20</v>
      </c>
      <c r="K76" s="2">
        <v>2.5</v>
      </c>
      <c r="L76" s="2">
        <v>3.3</v>
      </c>
    </row>
    <row r="77" spans="1:12" x14ac:dyDescent="0.25">
      <c r="A77">
        <v>3.0312368083723101E-3</v>
      </c>
      <c r="B77">
        <v>0.81449516576653702</v>
      </c>
      <c r="C77">
        <v>0.180628097768496</v>
      </c>
      <c r="D77">
        <v>1.84549965659506E-3</v>
      </c>
      <c r="E77">
        <v>1.2077891988765399</v>
      </c>
      <c r="F77">
        <v>1.4455660745841401</v>
      </c>
      <c r="G77">
        <v>0.6</v>
      </c>
      <c r="H77" s="2">
        <v>40.6</v>
      </c>
      <c r="I77" s="2">
        <v>12.2</v>
      </c>
      <c r="J77" s="2">
        <v>41</v>
      </c>
      <c r="K77" s="2">
        <v>3.8</v>
      </c>
      <c r="L77" s="2">
        <v>2.5</v>
      </c>
    </row>
    <row r="78" spans="1:12" x14ac:dyDescent="0.25">
      <c r="A78">
        <v>2.9281559182344999E-2</v>
      </c>
      <c r="B78">
        <v>0.64836201451389996</v>
      </c>
      <c r="C78">
        <v>0.315437361570436</v>
      </c>
      <c r="D78">
        <v>6.9190647333187997E-3</v>
      </c>
      <c r="E78">
        <v>0.37924654828637999</v>
      </c>
      <c r="F78">
        <v>0.57227909646839403</v>
      </c>
      <c r="G78">
        <v>0.6</v>
      </c>
      <c r="H78" s="2">
        <v>60.6</v>
      </c>
      <c r="I78" s="2">
        <v>10.6</v>
      </c>
      <c r="J78" s="2">
        <v>20.8</v>
      </c>
      <c r="K78" s="2">
        <v>4.7</v>
      </c>
      <c r="L78" s="2">
        <v>3.3</v>
      </c>
    </row>
    <row r="79" spans="1:12" x14ac:dyDescent="0.25">
      <c r="A79">
        <v>7.7088820162017499E-2</v>
      </c>
      <c r="B79">
        <v>0.44091363002429002</v>
      </c>
      <c r="C79">
        <v>0.48195091997047201</v>
      </c>
      <c r="D79">
        <v>4.6629843220777799E-5</v>
      </c>
      <c r="E79">
        <v>-9.4406020037239094E-2</v>
      </c>
      <c r="F79">
        <v>7.1198295306388895E-2</v>
      </c>
      <c r="G79">
        <v>0.6</v>
      </c>
      <c r="H79" s="2">
        <v>60.2</v>
      </c>
      <c r="I79" s="2">
        <v>8.5</v>
      </c>
      <c r="J79" s="2">
        <v>25.8</v>
      </c>
      <c r="K79" s="2">
        <v>3.1</v>
      </c>
      <c r="L79" s="2">
        <v>2.5</v>
      </c>
    </row>
    <row r="80" spans="1:12" x14ac:dyDescent="0.25">
      <c r="A80">
        <v>2.52887999153425E-2</v>
      </c>
      <c r="B80">
        <v>0.55969765445738495</v>
      </c>
      <c r="C80">
        <v>0.41485764353552801</v>
      </c>
      <c r="D80">
        <v>1.5590209174446199E-4</v>
      </c>
      <c r="E80">
        <v>0.26667573783169701</v>
      </c>
      <c r="F80">
        <v>0.408498823114053</v>
      </c>
      <c r="G80">
        <v>0.6</v>
      </c>
      <c r="H80" s="2">
        <v>59.4</v>
      </c>
      <c r="I80" s="2">
        <v>10.199999999999999</v>
      </c>
      <c r="J80" s="2">
        <v>23.6</v>
      </c>
      <c r="K80" s="2">
        <v>3.2</v>
      </c>
      <c r="L80" s="2">
        <v>3.5</v>
      </c>
    </row>
    <row r="81" spans="1:12" x14ac:dyDescent="0.25">
      <c r="A81">
        <v>0.152513445947456</v>
      </c>
      <c r="B81">
        <v>0.23814138699083701</v>
      </c>
      <c r="C81">
        <v>0.60929167272752605</v>
      </c>
      <c r="D81">
        <v>5.3494334180571297E-5</v>
      </c>
      <c r="E81">
        <v>-0.52949931716148502</v>
      </c>
      <c r="F81">
        <v>-0.68325783797914097</v>
      </c>
      <c r="G81">
        <v>0.6</v>
      </c>
      <c r="H81" s="3">
        <v>58.3</v>
      </c>
      <c r="I81" s="3">
        <v>5.6</v>
      </c>
      <c r="J81" s="3">
        <v>25.9</v>
      </c>
      <c r="K81" s="3">
        <v>4.5999999999999996</v>
      </c>
      <c r="L81" s="3">
        <v>5.6</v>
      </c>
    </row>
    <row r="82" spans="1:12" x14ac:dyDescent="0.25">
      <c r="A82">
        <v>0.11311915183098201</v>
      </c>
      <c r="B82">
        <v>0.181529280389716</v>
      </c>
      <c r="C82">
        <v>0.70535156777930197</v>
      </c>
      <c r="D82">
        <v>0</v>
      </c>
      <c r="E82">
        <v>-1.07589491851161</v>
      </c>
      <c r="F82">
        <v>-1.01293757538559</v>
      </c>
      <c r="G82">
        <v>0.6</v>
      </c>
      <c r="H82" s="2">
        <v>48</v>
      </c>
      <c r="I82" s="2">
        <v>6.8</v>
      </c>
      <c r="J82" s="2">
        <v>19.7</v>
      </c>
      <c r="K82" s="2">
        <v>23.2</v>
      </c>
      <c r="L82" s="2">
        <v>2.2999999999999998</v>
      </c>
    </row>
    <row r="83" spans="1:12" x14ac:dyDescent="0.25">
      <c r="A83">
        <v>5.8743057389236096E-3</v>
      </c>
      <c r="B83">
        <v>0.43723389214234998</v>
      </c>
      <c r="C83">
        <v>0.55674073194146501</v>
      </c>
      <c r="D83">
        <v>1.51070177262131E-4</v>
      </c>
      <c r="E83">
        <v>-0.426581499563981</v>
      </c>
      <c r="F83">
        <v>0.11565391582760701</v>
      </c>
      <c r="G83">
        <v>0.6</v>
      </c>
      <c r="H83" s="2">
        <v>53.9</v>
      </c>
      <c r="I83" s="2">
        <v>17.8</v>
      </c>
      <c r="J83" s="2">
        <v>19</v>
      </c>
      <c r="K83" s="2">
        <v>5</v>
      </c>
      <c r="L83" s="2">
        <v>4.3</v>
      </c>
    </row>
    <row r="84" spans="1:12" x14ac:dyDescent="0.25">
      <c r="A84">
        <v>9.35906161883127E-2</v>
      </c>
      <c r="B84">
        <v>0.28748783016402002</v>
      </c>
      <c r="C84">
        <v>0.61892155364766799</v>
      </c>
      <c r="D84">
        <v>0</v>
      </c>
      <c r="E84">
        <v>-0.604146251780599</v>
      </c>
      <c r="F84">
        <v>-0.55722886713625897</v>
      </c>
      <c r="G84">
        <v>0.6</v>
      </c>
      <c r="H84" s="2">
        <v>44.7</v>
      </c>
      <c r="I84" s="2">
        <v>6.1</v>
      </c>
      <c r="J84" s="2">
        <v>35.700000000000003</v>
      </c>
      <c r="K84" s="2">
        <v>5.6</v>
      </c>
      <c r="L84" s="2">
        <v>7.9</v>
      </c>
    </row>
    <row r="85" spans="1:12" x14ac:dyDescent="0.25">
      <c r="A85">
        <v>5.7776262286214101E-3</v>
      </c>
      <c r="B85">
        <v>0.85981376803325604</v>
      </c>
      <c r="C85">
        <v>0.134330977574358</v>
      </c>
      <c r="D85">
        <v>7.7628163764730193E-5</v>
      </c>
      <c r="E85">
        <v>2.2562526000132599</v>
      </c>
      <c r="F85">
        <v>1.54280228408299</v>
      </c>
      <c r="G85">
        <v>0.7</v>
      </c>
      <c r="H85" s="2">
        <v>59.2</v>
      </c>
      <c r="I85" s="2">
        <v>11.5</v>
      </c>
      <c r="J85" s="2">
        <v>20</v>
      </c>
      <c r="K85" s="2">
        <v>4.0999999999999996</v>
      </c>
      <c r="L85" s="2">
        <v>5.2</v>
      </c>
    </row>
    <row r="86" spans="1:12" x14ac:dyDescent="0.25">
      <c r="A86">
        <v>0.67329501066893505</v>
      </c>
      <c r="B86">
        <v>5.6667793803854899E-3</v>
      </c>
      <c r="C86">
        <v>0.321038209950679</v>
      </c>
      <c r="D86">
        <v>0</v>
      </c>
      <c r="E86">
        <v>-1.48901355346549</v>
      </c>
      <c r="F86">
        <v>-2.0744356825170298</v>
      </c>
      <c r="G86">
        <v>0.7</v>
      </c>
      <c r="H86" s="2">
        <v>21.8</v>
      </c>
      <c r="I86" s="2">
        <v>1.4</v>
      </c>
      <c r="J86" s="2">
        <v>9.6999999999999993</v>
      </c>
      <c r="K86" s="2">
        <v>64.099999999999994</v>
      </c>
      <c r="L86" s="2">
        <v>3</v>
      </c>
    </row>
    <row r="87" spans="1:12" x14ac:dyDescent="0.25">
      <c r="A87">
        <v>2.2299433987198199E-2</v>
      </c>
      <c r="B87">
        <v>0.44649680698795902</v>
      </c>
      <c r="C87">
        <v>0.53087943238650404</v>
      </c>
      <c r="D87">
        <v>3.2432663833810801E-4</v>
      </c>
      <c r="E87">
        <v>3.95014528912353E-2</v>
      </c>
      <c r="F87">
        <v>0.16575397399428801</v>
      </c>
      <c r="G87">
        <v>0.7</v>
      </c>
      <c r="H87" s="3">
        <v>74.099999999999994</v>
      </c>
      <c r="I87" s="3">
        <v>9.6</v>
      </c>
      <c r="J87" s="3">
        <v>10</v>
      </c>
      <c r="K87" s="3">
        <v>2.5</v>
      </c>
      <c r="L87" s="3">
        <v>3.8</v>
      </c>
    </row>
    <row r="88" spans="1:12" x14ac:dyDescent="0.25">
      <c r="A88">
        <v>7.0708867001046796E-2</v>
      </c>
      <c r="B88">
        <v>0.42653135184144902</v>
      </c>
      <c r="C88">
        <v>0.50121721370554295</v>
      </c>
      <c r="D88">
        <v>1.54256745196149E-3</v>
      </c>
      <c r="E88">
        <v>-0.219400038419792</v>
      </c>
      <c r="F88">
        <v>-7.6147992742301995E-2</v>
      </c>
      <c r="G88">
        <v>0.7</v>
      </c>
      <c r="H88" s="2">
        <v>28.2</v>
      </c>
      <c r="I88" s="2">
        <v>13.3</v>
      </c>
      <c r="J88" s="2">
        <v>7.5</v>
      </c>
      <c r="K88" s="2">
        <v>46</v>
      </c>
      <c r="L88" s="2">
        <v>5</v>
      </c>
    </row>
    <row r="89" spans="1:12" x14ac:dyDescent="0.25">
      <c r="A89">
        <v>0.30873503293003601</v>
      </c>
      <c r="B89">
        <v>0.23877579544959901</v>
      </c>
      <c r="C89">
        <v>0.452489171620365</v>
      </c>
      <c r="D89">
        <v>0</v>
      </c>
      <c r="E89">
        <v>-0.83838782484863394</v>
      </c>
      <c r="F89">
        <v>-0.92684773444703406</v>
      </c>
      <c r="G89">
        <v>0.7</v>
      </c>
      <c r="H89" s="2">
        <v>48.3</v>
      </c>
      <c r="I89" s="2">
        <v>6.9</v>
      </c>
      <c r="J89" s="2">
        <v>27.8</v>
      </c>
      <c r="K89" s="2">
        <v>11.2</v>
      </c>
      <c r="L89" s="2">
        <v>5.9</v>
      </c>
    </row>
    <row r="90" spans="1:12" x14ac:dyDescent="0.25">
      <c r="A90">
        <v>3.0558527085207801E-2</v>
      </c>
      <c r="B90">
        <v>0.71844426012819396</v>
      </c>
      <c r="C90">
        <v>0.247009240887336</v>
      </c>
      <c r="D90">
        <v>3.9879718992617197E-3</v>
      </c>
      <c r="E90">
        <v>1.1278638858897201</v>
      </c>
      <c r="F90">
        <v>1.0091032268294899</v>
      </c>
      <c r="G90">
        <v>0.7</v>
      </c>
      <c r="H90" s="2">
        <v>72.2</v>
      </c>
      <c r="I90" s="2">
        <v>4</v>
      </c>
      <c r="J90" s="2">
        <v>18.3</v>
      </c>
      <c r="K90" s="2">
        <v>1.8</v>
      </c>
      <c r="L90" s="2">
        <v>3.7</v>
      </c>
    </row>
    <row r="91" spans="1:12" x14ac:dyDescent="0.25">
      <c r="A91">
        <v>3.0312368083723101E-3</v>
      </c>
      <c r="B91">
        <v>0.81449516576653702</v>
      </c>
      <c r="C91">
        <v>0.180628097768496</v>
      </c>
      <c r="D91">
        <v>1.84549965659506E-3</v>
      </c>
      <c r="E91">
        <v>1.2077891988765399</v>
      </c>
      <c r="F91">
        <v>1.4455660745841401</v>
      </c>
      <c r="G91">
        <v>0.7</v>
      </c>
      <c r="H91" s="2">
        <v>45.1</v>
      </c>
      <c r="I91" s="2">
        <v>10.7</v>
      </c>
      <c r="J91" s="2">
        <v>36.9</v>
      </c>
      <c r="K91" s="2">
        <v>2.9</v>
      </c>
      <c r="L91" s="2">
        <v>4.4000000000000004</v>
      </c>
    </row>
    <row r="92" spans="1:12" x14ac:dyDescent="0.25">
      <c r="A92">
        <v>2.9281559182344999E-2</v>
      </c>
      <c r="B92">
        <v>0.64836201451389996</v>
      </c>
      <c r="C92">
        <v>0.315437361570436</v>
      </c>
      <c r="D92">
        <v>6.9190647333187997E-3</v>
      </c>
      <c r="E92">
        <v>0.37924654828637999</v>
      </c>
      <c r="F92">
        <v>0.57227909646839403</v>
      </c>
      <c r="G92">
        <v>0.7</v>
      </c>
      <c r="H92" s="2">
        <v>59.6</v>
      </c>
      <c r="I92" s="2">
        <v>9.1</v>
      </c>
      <c r="J92" s="2">
        <v>20</v>
      </c>
      <c r="K92" s="2">
        <v>3.7</v>
      </c>
      <c r="L92" s="2">
        <v>7.5</v>
      </c>
    </row>
    <row r="93" spans="1:12" x14ac:dyDescent="0.25">
      <c r="A93">
        <v>7.7088820162017499E-2</v>
      </c>
      <c r="B93">
        <v>0.44091363002429002</v>
      </c>
      <c r="C93">
        <v>0.48195091997047201</v>
      </c>
      <c r="D93">
        <v>4.6629843220777799E-5</v>
      </c>
      <c r="E93">
        <v>-9.4406020037239094E-2</v>
      </c>
      <c r="F93">
        <v>7.1198295306388895E-2</v>
      </c>
      <c r="G93">
        <v>0.7</v>
      </c>
      <c r="H93" s="2">
        <v>62.7</v>
      </c>
      <c r="I93" s="2">
        <v>9.1</v>
      </c>
      <c r="J93" s="2">
        <v>20.7</v>
      </c>
      <c r="K93" s="2">
        <v>2.8</v>
      </c>
      <c r="L93" s="2">
        <v>4.8</v>
      </c>
    </row>
    <row r="94" spans="1:12" x14ac:dyDescent="0.25">
      <c r="A94">
        <v>2.52887999153425E-2</v>
      </c>
      <c r="B94">
        <v>0.55969765445738495</v>
      </c>
      <c r="C94">
        <v>0.41485764353552801</v>
      </c>
      <c r="D94">
        <v>1.5590209174446199E-4</v>
      </c>
      <c r="E94">
        <v>0.26667573783169701</v>
      </c>
      <c r="F94">
        <v>0.408498823114053</v>
      </c>
      <c r="G94">
        <v>0.7</v>
      </c>
      <c r="H94" s="2">
        <v>61.3</v>
      </c>
      <c r="I94" s="2">
        <v>10.4</v>
      </c>
      <c r="J94" s="2">
        <v>21</v>
      </c>
      <c r="K94" s="2">
        <v>2.7</v>
      </c>
      <c r="L94" s="2">
        <v>4.5999999999999996</v>
      </c>
    </row>
    <row r="95" spans="1:12" x14ac:dyDescent="0.25">
      <c r="A95">
        <v>0.152513445947456</v>
      </c>
      <c r="B95">
        <v>0.23814138699083701</v>
      </c>
      <c r="C95">
        <v>0.60929167272752605</v>
      </c>
      <c r="D95">
        <v>5.3494334180571297E-5</v>
      </c>
      <c r="E95">
        <v>-0.52949931716148502</v>
      </c>
      <c r="F95">
        <v>-0.68325783797914097</v>
      </c>
      <c r="G95">
        <v>0.7</v>
      </c>
      <c r="H95" s="2">
        <v>66.099999999999994</v>
      </c>
      <c r="I95" s="2">
        <v>5</v>
      </c>
      <c r="J95" s="2">
        <v>22.4</v>
      </c>
      <c r="K95" s="2">
        <v>3.6</v>
      </c>
      <c r="L95" s="2">
        <v>2.8</v>
      </c>
    </row>
    <row r="96" spans="1:12" x14ac:dyDescent="0.25">
      <c r="A96">
        <v>0.11311915183098201</v>
      </c>
      <c r="B96">
        <v>0.181529280389716</v>
      </c>
      <c r="C96">
        <v>0.70535156777930197</v>
      </c>
      <c r="D96">
        <v>0</v>
      </c>
      <c r="E96">
        <v>-1.07589491851161</v>
      </c>
      <c r="F96">
        <v>-1.01293757538559</v>
      </c>
      <c r="G96">
        <v>0.7</v>
      </c>
      <c r="H96" s="2">
        <v>51.5</v>
      </c>
      <c r="I96" s="2">
        <v>6.7</v>
      </c>
      <c r="J96" s="2">
        <v>19.2</v>
      </c>
      <c r="K96" s="2">
        <v>17.899999999999999</v>
      </c>
      <c r="L96" s="2">
        <v>4.5999999999999996</v>
      </c>
    </row>
    <row r="97" spans="1:12" x14ac:dyDescent="0.25">
      <c r="A97">
        <v>5.8743057389236096E-3</v>
      </c>
      <c r="B97">
        <v>0.43723389214234998</v>
      </c>
      <c r="C97">
        <v>0.55674073194146501</v>
      </c>
      <c r="D97">
        <v>1.51070177262131E-4</v>
      </c>
      <c r="E97">
        <v>-0.426581499563981</v>
      </c>
      <c r="F97">
        <v>0.11565391582760701</v>
      </c>
      <c r="G97">
        <v>0.7</v>
      </c>
      <c r="H97" s="2">
        <v>54.5</v>
      </c>
      <c r="I97" s="2">
        <v>16.8</v>
      </c>
      <c r="J97" s="2">
        <v>19.899999999999999</v>
      </c>
      <c r="K97" s="2">
        <v>4.0999999999999996</v>
      </c>
      <c r="L97" s="2">
        <v>4.7</v>
      </c>
    </row>
    <row r="98" spans="1:12" x14ac:dyDescent="0.25">
      <c r="A98">
        <v>9.35906161883127E-2</v>
      </c>
      <c r="B98">
        <v>0.28748783016402002</v>
      </c>
      <c r="C98">
        <v>0.61892155364766799</v>
      </c>
      <c r="D98">
        <v>0</v>
      </c>
      <c r="E98">
        <v>-0.604146251780599</v>
      </c>
      <c r="F98">
        <v>-0.55722886713625897</v>
      </c>
      <c r="G98">
        <v>0.7</v>
      </c>
      <c r="H98" s="2">
        <v>46.5</v>
      </c>
      <c r="I98" s="2">
        <v>4.9000000000000004</v>
      </c>
      <c r="J98" s="2">
        <v>36.4</v>
      </c>
      <c r="K98" s="2">
        <v>4</v>
      </c>
      <c r="L98" s="2">
        <v>8.1</v>
      </c>
    </row>
    <row r="99" spans="1:12" x14ac:dyDescent="0.25">
      <c r="A99">
        <v>5.7776262286214101E-3</v>
      </c>
      <c r="B99">
        <v>0.85981376803325604</v>
      </c>
      <c r="C99">
        <v>0.134330977574358</v>
      </c>
      <c r="D99">
        <v>7.7628163764730193E-5</v>
      </c>
      <c r="E99">
        <v>2.2562526000132599</v>
      </c>
      <c r="F99">
        <v>1.54280228408299</v>
      </c>
      <c r="G99">
        <v>0.8</v>
      </c>
      <c r="H99" s="2">
        <v>58.3</v>
      </c>
      <c r="I99" s="2">
        <v>10.9</v>
      </c>
      <c r="J99" s="2">
        <v>22</v>
      </c>
      <c r="K99" s="2">
        <v>3.6</v>
      </c>
      <c r="L99" s="7">
        <v>5.0999999999999996</v>
      </c>
    </row>
    <row r="100" spans="1:12" x14ac:dyDescent="0.25">
      <c r="A100">
        <v>0.67329501066893505</v>
      </c>
      <c r="B100">
        <v>5.6667793803854899E-3</v>
      </c>
      <c r="C100">
        <v>0.321038209950679</v>
      </c>
      <c r="D100">
        <v>0</v>
      </c>
      <c r="E100">
        <v>-1.48901355346549</v>
      </c>
      <c r="F100">
        <v>-2.0744356825170298</v>
      </c>
      <c r="G100">
        <v>0.8</v>
      </c>
      <c r="H100" s="2">
        <v>24.3</v>
      </c>
      <c r="I100" s="2">
        <v>1.4</v>
      </c>
      <c r="J100" s="2">
        <v>11.8</v>
      </c>
      <c r="K100" s="2">
        <v>59.2</v>
      </c>
      <c r="L100" s="7">
        <v>3.2</v>
      </c>
    </row>
    <row r="101" spans="1:12" x14ac:dyDescent="0.25">
      <c r="A101">
        <v>2.2299433987198199E-2</v>
      </c>
      <c r="B101">
        <v>0.44649680698795902</v>
      </c>
      <c r="C101">
        <v>0.53087943238650404</v>
      </c>
      <c r="D101">
        <v>3.2432663833810801E-4</v>
      </c>
      <c r="E101">
        <v>3.95014528912353E-2</v>
      </c>
      <c r="F101">
        <v>0.16575397399428801</v>
      </c>
      <c r="G101">
        <v>0.8</v>
      </c>
      <c r="H101" s="2">
        <v>71.3</v>
      </c>
      <c r="I101" s="2">
        <v>10.3</v>
      </c>
      <c r="J101" s="2">
        <v>12.7</v>
      </c>
      <c r="K101" s="2">
        <v>2.1</v>
      </c>
      <c r="L101" s="7">
        <v>3.6</v>
      </c>
    </row>
    <row r="102" spans="1:12" x14ac:dyDescent="0.25">
      <c r="A102">
        <v>7.0708867001046796E-2</v>
      </c>
      <c r="B102">
        <v>0.42653135184144902</v>
      </c>
      <c r="C102">
        <v>0.50121721370554295</v>
      </c>
      <c r="D102">
        <v>1.54256745196149E-3</v>
      </c>
      <c r="E102">
        <v>-0.219400038419792</v>
      </c>
      <c r="F102">
        <v>-7.6147992742301995E-2</v>
      </c>
      <c r="G102">
        <v>0.8</v>
      </c>
      <c r="H102" s="2">
        <v>28.8</v>
      </c>
      <c r="I102" s="2">
        <v>12.9</v>
      </c>
      <c r="J102" s="2">
        <v>10</v>
      </c>
      <c r="K102" s="2">
        <v>43</v>
      </c>
      <c r="L102" s="7">
        <v>5.2</v>
      </c>
    </row>
    <row r="103" spans="1:12" x14ac:dyDescent="0.25">
      <c r="A103">
        <v>0.30873503293003601</v>
      </c>
      <c r="B103">
        <v>0.23877579544959901</v>
      </c>
      <c r="C103">
        <v>0.452489171620365</v>
      </c>
      <c r="D103">
        <v>0</v>
      </c>
      <c r="E103">
        <v>-0.83838782484863394</v>
      </c>
      <c r="F103">
        <v>-0.92684773444703406</v>
      </c>
      <c r="G103">
        <v>0.8</v>
      </c>
      <c r="H103" s="2">
        <v>48.2</v>
      </c>
      <c r="I103" s="2">
        <v>6.1</v>
      </c>
      <c r="J103" s="2">
        <v>30.6</v>
      </c>
      <c r="K103" s="2">
        <v>9.4</v>
      </c>
      <c r="L103" s="7">
        <v>5.7</v>
      </c>
    </row>
    <row r="104" spans="1:12" x14ac:dyDescent="0.25">
      <c r="A104">
        <v>3.0558527085207801E-2</v>
      </c>
      <c r="B104">
        <v>0.71844426012819396</v>
      </c>
      <c r="C104">
        <v>0.247009240887336</v>
      </c>
      <c r="D104">
        <v>3.9879718992617197E-3</v>
      </c>
      <c r="E104">
        <v>1.1278638858897201</v>
      </c>
      <c r="F104">
        <v>1.0091032268294899</v>
      </c>
      <c r="G104">
        <v>0.8</v>
      </c>
      <c r="H104" s="2">
        <v>68</v>
      </c>
      <c r="I104" s="2">
        <v>5.0999999999999996</v>
      </c>
      <c r="J104" s="2">
        <v>21.4</v>
      </c>
      <c r="K104" s="2">
        <v>1.8</v>
      </c>
      <c r="L104" s="7">
        <v>3.8</v>
      </c>
    </row>
    <row r="105" spans="1:12" x14ac:dyDescent="0.25">
      <c r="A105">
        <v>3.0312368083723101E-3</v>
      </c>
      <c r="B105">
        <v>0.81449516576653702</v>
      </c>
      <c r="C105">
        <v>0.180628097768496</v>
      </c>
      <c r="D105">
        <v>1.84549965659506E-3</v>
      </c>
      <c r="E105">
        <v>1.2077891988765399</v>
      </c>
      <c r="F105">
        <v>1.4455660745841401</v>
      </c>
      <c r="G105">
        <v>0.8</v>
      </c>
      <c r="H105" s="2">
        <v>46.3</v>
      </c>
      <c r="I105" s="2">
        <v>9.9</v>
      </c>
      <c r="J105" s="2">
        <v>37.299999999999997</v>
      </c>
      <c r="K105" s="2">
        <v>2.2999999999999998</v>
      </c>
      <c r="L105" s="7">
        <v>4.2</v>
      </c>
    </row>
    <row r="106" spans="1:12" x14ac:dyDescent="0.25">
      <c r="A106">
        <v>2.9281559182344999E-2</v>
      </c>
      <c r="B106">
        <v>0.64836201451389996</v>
      </c>
      <c r="C106">
        <v>0.315437361570436</v>
      </c>
      <c r="D106">
        <v>6.9190647333187997E-3</v>
      </c>
      <c r="E106">
        <v>0.37924654828637999</v>
      </c>
      <c r="F106">
        <v>0.57227909646839403</v>
      </c>
      <c r="G106">
        <v>0.8</v>
      </c>
      <c r="H106" s="2">
        <v>58</v>
      </c>
      <c r="I106" s="2">
        <v>8.5</v>
      </c>
      <c r="J106" s="2">
        <v>22.7</v>
      </c>
      <c r="K106" s="2">
        <v>3.4</v>
      </c>
      <c r="L106" s="7">
        <v>7.3</v>
      </c>
    </row>
    <row r="107" spans="1:12" x14ac:dyDescent="0.25">
      <c r="A107">
        <v>7.7088820162017499E-2</v>
      </c>
      <c r="B107">
        <v>0.44091363002429002</v>
      </c>
      <c r="C107">
        <v>0.48195091997047201</v>
      </c>
      <c r="D107">
        <v>4.6629843220777799E-5</v>
      </c>
      <c r="E107">
        <v>-9.4406020037239094E-2</v>
      </c>
      <c r="F107">
        <v>7.1198295306388895E-2</v>
      </c>
      <c r="G107">
        <v>0.8</v>
      </c>
      <c r="H107" s="2">
        <v>61.1</v>
      </c>
      <c r="I107" s="2">
        <v>9</v>
      </c>
      <c r="J107" s="2">
        <v>22.2</v>
      </c>
      <c r="K107" s="2">
        <v>2.5</v>
      </c>
      <c r="L107" s="7">
        <v>5.4</v>
      </c>
    </row>
    <row r="108" spans="1:12" x14ac:dyDescent="0.25">
      <c r="A108">
        <v>2.52887999153425E-2</v>
      </c>
      <c r="B108">
        <v>0.55969765445738495</v>
      </c>
      <c r="C108">
        <v>0.41485764353552801</v>
      </c>
      <c r="D108">
        <v>1.5590209174446199E-4</v>
      </c>
      <c r="E108">
        <v>0.26667573783169701</v>
      </c>
      <c r="F108">
        <v>0.408498823114053</v>
      </c>
      <c r="G108">
        <v>0.8</v>
      </c>
      <c r="H108" s="2">
        <v>60.7</v>
      </c>
      <c r="I108" s="2">
        <v>10</v>
      </c>
      <c r="J108" s="2">
        <v>22.5</v>
      </c>
      <c r="K108" s="2">
        <v>2.2000000000000002</v>
      </c>
      <c r="L108" s="7">
        <v>4.5</v>
      </c>
    </row>
    <row r="109" spans="1:12" x14ac:dyDescent="0.25">
      <c r="A109">
        <v>0.152513445947456</v>
      </c>
      <c r="B109">
        <v>0.23814138699083701</v>
      </c>
      <c r="C109">
        <v>0.60929167272752605</v>
      </c>
      <c r="D109">
        <v>5.3494334180571297E-5</v>
      </c>
      <c r="E109">
        <v>-0.52949931716148502</v>
      </c>
      <c r="F109">
        <v>-0.68325783797914097</v>
      </c>
      <c r="G109">
        <v>0.8</v>
      </c>
      <c r="H109" s="2">
        <v>64.900000000000006</v>
      </c>
      <c r="I109" s="2">
        <v>5.3</v>
      </c>
      <c r="J109" s="2">
        <v>23.6</v>
      </c>
      <c r="K109" s="2">
        <v>3.5</v>
      </c>
      <c r="L109" s="7">
        <v>2.7</v>
      </c>
    </row>
    <row r="110" spans="1:12" x14ac:dyDescent="0.25">
      <c r="A110">
        <v>0.11311915183098201</v>
      </c>
      <c r="B110">
        <v>0.181529280389716</v>
      </c>
      <c r="C110">
        <v>0.70535156777930197</v>
      </c>
      <c r="D110">
        <v>0</v>
      </c>
      <c r="E110">
        <v>-1.07589491851161</v>
      </c>
      <c r="F110">
        <v>-1.01293757538559</v>
      </c>
      <c r="G110">
        <v>0.8</v>
      </c>
      <c r="H110" s="2">
        <v>50.4</v>
      </c>
      <c r="I110" s="2">
        <v>6.8</v>
      </c>
      <c r="J110" s="2">
        <v>21.7</v>
      </c>
      <c r="K110" s="2">
        <v>16.3</v>
      </c>
      <c r="L110" s="7">
        <v>4.8</v>
      </c>
    </row>
    <row r="111" spans="1:12" x14ac:dyDescent="0.25">
      <c r="A111">
        <v>5.8743057389236096E-3</v>
      </c>
      <c r="B111">
        <v>0.43723389214234998</v>
      </c>
      <c r="C111">
        <v>0.55674073194146501</v>
      </c>
      <c r="D111">
        <v>1.51070177262131E-4</v>
      </c>
      <c r="E111">
        <v>-0.426581499563981</v>
      </c>
      <c r="F111">
        <v>0.11565391582760701</v>
      </c>
      <c r="G111">
        <v>0.8</v>
      </c>
      <c r="H111" s="2">
        <v>53.9</v>
      </c>
      <c r="I111" s="2">
        <v>15.8</v>
      </c>
      <c r="J111" s="2">
        <v>22.4</v>
      </c>
      <c r="K111" s="2">
        <v>3.5</v>
      </c>
      <c r="L111" s="7">
        <v>4.4000000000000004</v>
      </c>
    </row>
    <row r="112" spans="1:12" x14ac:dyDescent="0.25">
      <c r="A112">
        <v>9.35906161883127E-2</v>
      </c>
      <c r="B112">
        <v>0.28748783016402002</v>
      </c>
      <c r="C112">
        <v>0.61892155364766799</v>
      </c>
      <c r="D112">
        <v>0</v>
      </c>
      <c r="E112">
        <v>-0.604146251780599</v>
      </c>
      <c r="F112">
        <v>-0.55722886713625897</v>
      </c>
      <c r="G112">
        <v>0.8</v>
      </c>
      <c r="H112" s="2">
        <v>44.8</v>
      </c>
      <c r="I112" s="2">
        <v>4.0999999999999996</v>
      </c>
      <c r="J112" s="2">
        <v>39.9</v>
      </c>
      <c r="K112" s="2">
        <v>3.5</v>
      </c>
      <c r="L112" s="7">
        <v>7.7</v>
      </c>
    </row>
    <row r="113" spans="1:12" x14ac:dyDescent="0.25">
      <c r="A113">
        <v>5.7776262286214101E-3</v>
      </c>
      <c r="B113">
        <v>0.85981376803325604</v>
      </c>
      <c r="C113">
        <v>0.134330977574358</v>
      </c>
      <c r="D113">
        <v>7.7628163764730193E-5</v>
      </c>
      <c r="E113">
        <v>2.2562526000132599</v>
      </c>
      <c r="F113">
        <v>1.54280228408299</v>
      </c>
      <c r="G113">
        <v>0.9</v>
      </c>
      <c r="H113" s="2">
        <v>59.4</v>
      </c>
      <c r="I113" s="2">
        <v>11.6</v>
      </c>
      <c r="J113" s="2">
        <v>21.2</v>
      </c>
      <c r="K113" s="2">
        <v>2.8</v>
      </c>
      <c r="L113" s="2">
        <v>5.0999999999999996</v>
      </c>
    </row>
    <row r="114" spans="1:12" x14ac:dyDescent="0.25">
      <c r="A114">
        <v>0.67329501066893505</v>
      </c>
      <c r="B114">
        <v>5.6667793803854899E-3</v>
      </c>
      <c r="C114">
        <v>0.321038209950679</v>
      </c>
      <c r="D114">
        <v>0</v>
      </c>
      <c r="E114">
        <v>-1.48901355346549</v>
      </c>
      <c r="F114">
        <v>-2.0744356825170298</v>
      </c>
      <c r="G114">
        <v>0.9</v>
      </c>
      <c r="H114" s="2">
        <v>25.9</v>
      </c>
      <c r="I114" s="2">
        <v>1.9</v>
      </c>
      <c r="J114" s="2">
        <v>10.5</v>
      </c>
      <c r="K114" s="2">
        <v>58.4</v>
      </c>
      <c r="L114" s="2">
        <v>3.3</v>
      </c>
    </row>
    <row r="115" spans="1:12" x14ac:dyDescent="0.25">
      <c r="A115">
        <v>2.2299433987198199E-2</v>
      </c>
      <c r="B115">
        <v>0.44649680698795902</v>
      </c>
      <c r="C115">
        <v>0.53087943238650404</v>
      </c>
      <c r="D115">
        <v>3.2432663833810801E-4</v>
      </c>
      <c r="E115">
        <v>3.95014528912353E-2</v>
      </c>
      <c r="F115">
        <v>0.16575397399428801</v>
      </c>
      <c r="G115">
        <v>0.9</v>
      </c>
      <c r="H115" s="3">
        <v>70.3</v>
      </c>
      <c r="I115" s="3">
        <v>12.7</v>
      </c>
      <c r="J115" s="3">
        <v>11.2</v>
      </c>
      <c r="K115" s="3">
        <v>2.2000000000000002</v>
      </c>
      <c r="L115" s="3">
        <v>3.6</v>
      </c>
    </row>
    <row r="116" spans="1:12" x14ac:dyDescent="0.25">
      <c r="A116">
        <v>7.0708867001046796E-2</v>
      </c>
      <c r="B116">
        <v>0.42653135184144902</v>
      </c>
      <c r="C116">
        <v>0.50121721370554295</v>
      </c>
      <c r="D116">
        <v>1.54256745196149E-3</v>
      </c>
      <c r="E116">
        <v>-0.219400038419792</v>
      </c>
      <c r="F116">
        <v>-7.6147992742301995E-2</v>
      </c>
      <c r="G116">
        <v>0.9</v>
      </c>
      <c r="H116" s="2">
        <v>28.4</v>
      </c>
      <c r="I116" s="2">
        <v>14.4</v>
      </c>
      <c r="J116" s="2">
        <v>8.4</v>
      </c>
      <c r="K116" s="2">
        <v>43.4</v>
      </c>
      <c r="L116" s="2">
        <v>5.4</v>
      </c>
    </row>
    <row r="117" spans="1:12" x14ac:dyDescent="0.25">
      <c r="A117">
        <v>0.30873503293003601</v>
      </c>
      <c r="B117">
        <v>0.23877579544959901</v>
      </c>
      <c r="C117">
        <v>0.452489171620365</v>
      </c>
      <c r="D117">
        <v>0</v>
      </c>
      <c r="E117">
        <v>-0.83838782484863394</v>
      </c>
      <c r="F117">
        <v>-0.92684773444703406</v>
      </c>
      <c r="G117">
        <v>0.9</v>
      </c>
      <c r="H117" s="2">
        <v>51.6</v>
      </c>
      <c r="I117" s="2">
        <v>6.8</v>
      </c>
      <c r="J117" s="2">
        <v>26.8</v>
      </c>
      <c r="K117" s="2">
        <v>9.3000000000000007</v>
      </c>
      <c r="L117" s="2">
        <v>5.6</v>
      </c>
    </row>
    <row r="118" spans="1:12" x14ac:dyDescent="0.25">
      <c r="A118">
        <v>3.0558527085207801E-2</v>
      </c>
      <c r="B118">
        <v>0.71844426012819396</v>
      </c>
      <c r="C118">
        <v>0.247009240887336</v>
      </c>
      <c r="D118">
        <v>3.9879718992617197E-3</v>
      </c>
      <c r="E118">
        <v>1.1278638858897201</v>
      </c>
      <c r="F118">
        <v>1.0091032268294899</v>
      </c>
      <c r="G118">
        <v>0.9</v>
      </c>
      <c r="H118" s="2">
        <v>73.599999999999994</v>
      </c>
      <c r="I118" s="2">
        <v>4.4000000000000004</v>
      </c>
      <c r="J118" s="2">
        <v>17</v>
      </c>
      <c r="K118" s="2">
        <v>1.7</v>
      </c>
      <c r="L118" s="2">
        <v>3.4</v>
      </c>
    </row>
    <row r="119" spans="1:12" x14ac:dyDescent="0.25">
      <c r="A119">
        <v>3.0312368083723101E-3</v>
      </c>
      <c r="B119">
        <v>0.81449516576653702</v>
      </c>
      <c r="C119">
        <v>0.180628097768496</v>
      </c>
      <c r="D119">
        <v>1.84549965659506E-3</v>
      </c>
      <c r="E119">
        <v>1.2077891988765399</v>
      </c>
      <c r="F119">
        <v>1.4455660745841401</v>
      </c>
      <c r="G119">
        <v>0.9</v>
      </c>
      <c r="H119" s="2">
        <v>46</v>
      </c>
      <c r="I119" s="2">
        <v>9.9</v>
      </c>
      <c r="J119" s="2">
        <v>38.1</v>
      </c>
      <c r="K119" s="2">
        <v>2.2000000000000002</v>
      </c>
      <c r="L119" s="2">
        <v>3.9</v>
      </c>
    </row>
    <row r="120" spans="1:12" x14ac:dyDescent="0.25">
      <c r="A120">
        <v>2.9281559182344999E-2</v>
      </c>
      <c r="B120">
        <v>0.64836201451389996</v>
      </c>
      <c r="C120">
        <v>0.315437361570436</v>
      </c>
      <c r="D120">
        <v>6.9190647333187997E-3</v>
      </c>
      <c r="E120">
        <v>0.37924654828637999</v>
      </c>
      <c r="F120">
        <v>0.57227909646839403</v>
      </c>
      <c r="G120">
        <v>0.9</v>
      </c>
      <c r="H120" s="2">
        <v>61.8</v>
      </c>
      <c r="I120" s="2">
        <v>8.6999999999999993</v>
      </c>
      <c r="J120" s="2">
        <v>19</v>
      </c>
      <c r="K120" s="2">
        <v>3.8</v>
      </c>
      <c r="L120" s="2">
        <v>6.8</v>
      </c>
    </row>
    <row r="121" spans="1:12" x14ac:dyDescent="0.25">
      <c r="A121">
        <v>7.7088820162017499E-2</v>
      </c>
      <c r="B121">
        <v>0.44091363002429002</v>
      </c>
      <c r="C121">
        <v>0.48195091997047201</v>
      </c>
      <c r="D121">
        <v>4.6629843220777799E-5</v>
      </c>
      <c r="E121">
        <v>-9.4406020037239094E-2</v>
      </c>
      <c r="F121">
        <v>7.1198295306388895E-2</v>
      </c>
      <c r="G121">
        <v>0.9</v>
      </c>
      <c r="H121" s="2">
        <v>54.4</v>
      </c>
      <c r="I121" s="2">
        <v>7.5</v>
      </c>
      <c r="J121" s="2">
        <v>31.2</v>
      </c>
      <c r="K121" s="2">
        <v>2.2000000000000002</v>
      </c>
      <c r="L121" s="2">
        <v>4.7</v>
      </c>
    </row>
    <row r="122" spans="1:12" x14ac:dyDescent="0.25">
      <c r="A122">
        <v>2.52887999153425E-2</v>
      </c>
      <c r="B122">
        <v>0.55969765445738495</v>
      </c>
      <c r="C122">
        <v>0.41485764353552801</v>
      </c>
      <c r="D122">
        <v>1.5590209174446199E-4</v>
      </c>
      <c r="E122">
        <v>0.26667573783169701</v>
      </c>
      <c r="F122">
        <v>0.408498823114053</v>
      </c>
      <c r="G122">
        <v>0.9</v>
      </c>
      <c r="H122" s="2">
        <v>60.3</v>
      </c>
      <c r="I122" s="2">
        <v>10.5</v>
      </c>
      <c r="J122" s="2">
        <v>22.4</v>
      </c>
      <c r="K122" s="2">
        <v>2.2999999999999998</v>
      </c>
      <c r="L122" s="2">
        <v>4.5</v>
      </c>
    </row>
    <row r="123" spans="1:12" x14ac:dyDescent="0.25">
      <c r="A123">
        <v>0.152513445947456</v>
      </c>
      <c r="B123">
        <v>0.23814138699083701</v>
      </c>
      <c r="C123">
        <v>0.60929167272752605</v>
      </c>
      <c r="D123">
        <v>5.3494334180571297E-5</v>
      </c>
      <c r="E123">
        <v>-0.52949931716148502</v>
      </c>
      <c r="F123">
        <v>-0.68325783797914097</v>
      </c>
      <c r="G123">
        <v>0.9</v>
      </c>
      <c r="H123" s="2">
        <v>62.3</v>
      </c>
      <c r="I123" s="2">
        <v>5.8</v>
      </c>
      <c r="J123" s="2">
        <v>25.4</v>
      </c>
      <c r="K123" s="2">
        <v>3.8</v>
      </c>
      <c r="L123" s="2">
        <v>2.7</v>
      </c>
    </row>
    <row r="124" spans="1:12" x14ac:dyDescent="0.25">
      <c r="A124">
        <v>0.11311915183098201</v>
      </c>
      <c r="B124">
        <v>0.181529280389716</v>
      </c>
      <c r="C124">
        <v>0.70535156777930197</v>
      </c>
      <c r="D124">
        <v>0</v>
      </c>
      <c r="E124">
        <v>-1.07589491851161</v>
      </c>
      <c r="F124">
        <v>-1.01293757538559</v>
      </c>
      <c r="G124">
        <v>0.9</v>
      </c>
      <c r="H124" s="2">
        <v>52.5</v>
      </c>
      <c r="I124" s="2">
        <v>7.7</v>
      </c>
      <c r="J124" s="2">
        <v>18.600000000000001</v>
      </c>
      <c r="K124" s="2">
        <v>16.3</v>
      </c>
      <c r="L124" s="2">
        <v>4.8</v>
      </c>
    </row>
    <row r="125" spans="1:12" x14ac:dyDescent="0.25">
      <c r="A125">
        <v>5.8743057389236096E-3</v>
      </c>
      <c r="B125">
        <v>0.43723389214234998</v>
      </c>
      <c r="C125">
        <v>0.55674073194146501</v>
      </c>
      <c r="D125">
        <v>1.51070177262131E-4</v>
      </c>
      <c r="E125">
        <v>-0.426581499563981</v>
      </c>
      <c r="F125">
        <v>0.11565391582760701</v>
      </c>
      <c r="G125">
        <v>0.9</v>
      </c>
      <c r="H125" s="2">
        <v>55.2</v>
      </c>
      <c r="I125" s="2">
        <v>17.5</v>
      </c>
      <c r="J125" s="2">
        <v>19.899999999999999</v>
      </c>
      <c r="K125" s="2">
        <v>3.4</v>
      </c>
      <c r="L125" s="2">
        <v>4</v>
      </c>
    </row>
    <row r="126" spans="1:12" x14ac:dyDescent="0.25">
      <c r="A126">
        <v>9.35906161883127E-2</v>
      </c>
      <c r="B126">
        <v>0.28748783016402002</v>
      </c>
      <c r="C126">
        <v>0.61892155364766799</v>
      </c>
      <c r="D126">
        <v>0</v>
      </c>
      <c r="E126">
        <v>-0.604146251780599</v>
      </c>
      <c r="F126">
        <v>-0.55722886713625897</v>
      </c>
      <c r="G126">
        <v>0.9</v>
      </c>
      <c r="H126" s="2">
        <v>47.9</v>
      </c>
      <c r="I126" s="2">
        <v>5</v>
      </c>
      <c r="J126" s="2">
        <v>35.700000000000003</v>
      </c>
      <c r="K126" s="2">
        <v>3.6</v>
      </c>
      <c r="L126" s="2">
        <v>7.8</v>
      </c>
    </row>
    <row r="127" spans="1:12" x14ac:dyDescent="0.25">
      <c r="A127">
        <v>5.7776262286214101E-3</v>
      </c>
      <c r="B127">
        <v>0.85981376803325604</v>
      </c>
      <c r="C127">
        <v>0.134330977574358</v>
      </c>
      <c r="D127">
        <v>7.7628163764730193E-5</v>
      </c>
      <c r="E127">
        <v>2.2562526000132599</v>
      </c>
      <c r="F127">
        <v>1.54280228408299</v>
      </c>
      <c r="G127">
        <v>1</v>
      </c>
      <c r="H127" s="3">
        <v>57.3</v>
      </c>
      <c r="I127" s="3">
        <v>13.2</v>
      </c>
      <c r="J127" s="3">
        <v>21.6</v>
      </c>
      <c r="K127" s="3">
        <v>2.8</v>
      </c>
      <c r="L127" s="3">
        <v>5.2</v>
      </c>
    </row>
    <row r="128" spans="1:12" x14ac:dyDescent="0.25">
      <c r="A128">
        <v>0.67329501066893505</v>
      </c>
      <c r="B128">
        <v>5.6667793803854899E-3</v>
      </c>
      <c r="C128">
        <v>0.321038209950679</v>
      </c>
      <c r="D128">
        <v>0</v>
      </c>
      <c r="E128">
        <v>-1.48901355346549</v>
      </c>
      <c r="F128">
        <v>-2.0744356825170298</v>
      </c>
      <c r="G128">
        <v>1</v>
      </c>
      <c r="H128" s="3">
        <v>26.1</v>
      </c>
      <c r="I128" s="3">
        <v>2.1</v>
      </c>
      <c r="J128" s="3">
        <v>10.3</v>
      </c>
      <c r="K128" s="3">
        <v>58.1</v>
      </c>
      <c r="L128" s="3">
        <v>3.4</v>
      </c>
    </row>
    <row r="129" spans="1:12" x14ac:dyDescent="0.25">
      <c r="A129">
        <v>2.2299433987198199E-2</v>
      </c>
      <c r="B129">
        <v>0.44649680698795902</v>
      </c>
      <c r="C129">
        <v>0.53087943238650404</v>
      </c>
      <c r="D129">
        <v>3.2432663833810801E-4</v>
      </c>
      <c r="E129">
        <v>3.95014528912353E-2</v>
      </c>
      <c r="F129">
        <v>0.16575397399428801</v>
      </c>
      <c r="G129">
        <v>1</v>
      </c>
      <c r="H129" s="3">
        <v>69.8</v>
      </c>
      <c r="I129" s="3">
        <v>12.7</v>
      </c>
      <c r="J129" s="3">
        <v>11.4</v>
      </c>
      <c r="K129" s="3">
        <v>2.2000000000000002</v>
      </c>
      <c r="L129" s="3">
        <v>3.8</v>
      </c>
    </row>
    <row r="130" spans="1:12" x14ac:dyDescent="0.25">
      <c r="A130">
        <v>7.0708867001046796E-2</v>
      </c>
      <c r="B130">
        <v>0.42653135184144902</v>
      </c>
      <c r="C130">
        <v>0.50121721370554295</v>
      </c>
      <c r="D130">
        <v>1.54256745196149E-3</v>
      </c>
      <c r="E130">
        <v>-0.219400038419792</v>
      </c>
      <c r="F130">
        <v>-7.6147992742301995E-2</v>
      </c>
      <c r="G130">
        <v>1</v>
      </c>
      <c r="H130" s="3">
        <v>28.1</v>
      </c>
      <c r="I130" s="3">
        <v>14.9</v>
      </c>
      <c r="J130" s="3">
        <v>8.5</v>
      </c>
      <c r="K130" s="3">
        <v>42.9</v>
      </c>
      <c r="L130" s="3">
        <v>5.6</v>
      </c>
    </row>
    <row r="131" spans="1:12" x14ac:dyDescent="0.25">
      <c r="A131">
        <v>0.30873503293003601</v>
      </c>
      <c r="B131">
        <v>0.23877579544959901</v>
      </c>
      <c r="C131">
        <v>0.452489171620365</v>
      </c>
      <c r="D131">
        <v>0</v>
      </c>
      <c r="E131">
        <v>-0.83838782484863394</v>
      </c>
      <c r="F131">
        <v>-0.92684773444703406</v>
      </c>
      <c r="G131">
        <v>1</v>
      </c>
      <c r="H131" s="3">
        <v>51.6</v>
      </c>
      <c r="I131" s="3">
        <v>6.9</v>
      </c>
      <c r="J131" s="3">
        <v>26.8</v>
      </c>
      <c r="K131" s="3">
        <v>8.9</v>
      </c>
      <c r="L131" s="3">
        <v>5.8</v>
      </c>
    </row>
    <row r="132" spans="1:12" x14ac:dyDescent="0.25">
      <c r="A132">
        <v>3.0558527085207801E-2</v>
      </c>
      <c r="B132">
        <v>0.71844426012819396</v>
      </c>
      <c r="C132">
        <v>0.247009240887336</v>
      </c>
      <c r="D132">
        <v>3.9879718992617197E-3</v>
      </c>
      <c r="E132">
        <v>1.1278638858897201</v>
      </c>
      <c r="F132">
        <v>1.0091032268294899</v>
      </c>
      <c r="G132">
        <v>1</v>
      </c>
      <c r="H132" s="3">
        <v>75.599999999999994</v>
      </c>
      <c r="I132" s="3">
        <v>3.9</v>
      </c>
      <c r="J132" s="3">
        <v>15.8</v>
      </c>
      <c r="K132" s="3">
        <v>1.5</v>
      </c>
      <c r="L132" s="3">
        <v>3.2</v>
      </c>
    </row>
    <row r="133" spans="1:12" x14ac:dyDescent="0.25">
      <c r="A133">
        <v>3.0312368083723101E-3</v>
      </c>
      <c r="B133">
        <v>0.81449516576653702</v>
      </c>
      <c r="C133">
        <v>0.180628097768496</v>
      </c>
      <c r="D133">
        <v>1.84549965659506E-3</v>
      </c>
      <c r="E133">
        <v>1.2077891988765399</v>
      </c>
      <c r="F133">
        <v>1.4455660745841401</v>
      </c>
      <c r="G133">
        <v>1</v>
      </c>
      <c r="H133" s="3">
        <v>43.9</v>
      </c>
      <c r="I133" s="3">
        <v>11.1</v>
      </c>
      <c r="J133" s="3">
        <v>39.1</v>
      </c>
      <c r="K133" s="3">
        <v>2.1</v>
      </c>
      <c r="L133" s="3">
        <v>3.8</v>
      </c>
    </row>
    <row r="134" spans="1:12" x14ac:dyDescent="0.25">
      <c r="A134">
        <v>2.9281559182344999E-2</v>
      </c>
      <c r="B134">
        <v>0.64836201451389996</v>
      </c>
      <c r="C134">
        <v>0.315437361570436</v>
      </c>
      <c r="D134">
        <v>6.9190647333187997E-3</v>
      </c>
      <c r="E134">
        <v>0.37924654828637999</v>
      </c>
      <c r="F134">
        <v>0.57227909646839403</v>
      </c>
      <c r="G134">
        <v>1</v>
      </c>
      <c r="H134" s="3">
        <v>61.2</v>
      </c>
      <c r="I134" s="3">
        <v>8.6</v>
      </c>
      <c r="J134" s="3">
        <v>19.100000000000001</v>
      </c>
      <c r="K134" s="3">
        <v>4</v>
      </c>
      <c r="L134" s="3">
        <v>7.1</v>
      </c>
    </row>
    <row r="135" spans="1:12" x14ac:dyDescent="0.25">
      <c r="A135">
        <v>7.7088820162017499E-2</v>
      </c>
      <c r="B135">
        <v>0.44091363002429002</v>
      </c>
      <c r="C135">
        <v>0.48195091997047201</v>
      </c>
      <c r="D135">
        <v>4.6629843220777799E-5</v>
      </c>
      <c r="E135">
        <v>-9.4406020037239094E-2</v>
      </c>
      <c r="F135">
        <v>7.1198295306388895E-2</v>
      </c>
      <c r="G135">
        <v>1</v>
      </c>
      <c r="H135" s="3">
        <v>61.6</v>
      </c>
      <c r="I135" s="3">
        <v>8.1</v>
      </c>
      <c r="J135" s="3">
        <v>22.4</v>
      </c>
      <c r="K135" s="3">
        <v>2.5</v>
      </c>
      <c r="L135" s="3">
        <v>5.5</v>
      </c>
    </row>
    <row r="136" spans="1:12" x14ac:dyDescent="0.25">
      <c r="A136">
        <v>2.52887999153425E-2</v>
      </c>
      <c r="B136">
        <v>0.55969765445738495</v>
      </c>
      <c r="C136">
        <v>0.41485764353552801</v>
      </c>
      <c r="D136">
        <v>1.5590209174446199E-4</v>
      </c>
      <c r="E136">
        <v>0.26667573783169701</v>
      </c>
      <c r="F136">
        <v>0.408498823114053</v>
      </c>
      <c r="G136">
        <v>1</v>
      </c>
      <c r="H136" s="3">
        <v>61.7</v>
      </c>
      <c r="I136" s="3">
        <v>10.1</v>
      </c>
      <c r="J136" s="3">
        <v>21.5</v>
      </c>
      <c r="K136" s="3">
        <v>2.2000000000000002</v>
      </c>
      <c r="L136" s="3">
        <v>4.5</v>
      </c>
    </row>
    <row r="137" spans="1:12" x14ac:dyDescent="0.25">
      <c r="A137">
        <v>0.152513445947456</v>
      </c>
      <c r="B137">
        <v>0.23814138699083701</v>
      </c>
      <c r="C137">
        <v>0.60929167272752605</v>
      </c>
      <c r="D137">
        <v>5.3494334180571297E-5</v>
      </c>
      <c r="E137">
        <v>-0.52949931716148502</v>
      </c>
      <c r="F137">
        <v>-0.68325783797914097</v>
      </c>
      <c r="G137">
        <v>1</v>
      </c>
      <c r="H137" s="3">
        <v>64.3</v>
      </c>
      <c r="I137" s="3">
        <v>5.7</v>
      </c>
      <c r="J137" s="3">
        <v>23</v>
      </c>
      <c r="K137" s="3">
        <v>4</v>
      </c>
      <c r="L137" s="3">
        <v>3</v>
      </c>
    </row>
    <row r="138" spans="1:12" x14ac:dyDescent="0.25">
      <c r="A138">
        <v>0.11311915183098201</v>
      </c>
      <c r="B138">
        <v>0.181529280389716</v>
      </c>
      <c r="C138">
        <v>0.70535156777930197</v>
      </c>
      <c r="D138">
        <v>0</v>
      </c>
      <c r="E138">
        <v>-1.07589491851161</v>
      </c>
      <c r="F138">
        <v>-1.01293757538559</v>
      </c>
      <c r="G138">
        <v>1</v>
      </c>
      <c r="H138" s="3">
        <v>52.7</v>
      </c>
      <c r="I138" s="3">
        <v>7.6</v>
      </c>
      <c r="J138" s="3">
        <v>18.899999999999999</v>
      </c>
      <c r="K138" s="3">
        <v>16</v>
      </c>
      <c r="L138" s="3">
        <v>4.9000000000000004</v>
      </c>
    </row>
    <row r="139" spans="1:12" x14ac:dyDescent="0.25">
      <c r="A139">
        <v>5.8743057389236096E-3</v>
      </c>
      <c r="B139">
        <v>0.43723389214234998</v>
      </c>
      <c r="C139">
        <v>0.55674073194146501</v>
      </c>
      <c r="D139">
        <v>1.51070177262131E-4</v>
      </c>
      <c r="E139">
        <v>-0.426581499563981</v>
      </c>
      <c r="F139">
        <v>0.11565391582760701</v>
      </c>
      <c r="G139">
        <v>1</v>
      </c>
      <c r="H139" s="3">
        <v>56.4</v>
      </c>
      <c r="I139" s="3">
        <v>16.5</v>
      </c>
      <c r="J139" s="3">
        <v>19</v>
      </c>
      <c r="K139" s="3">
        <v>3.9</v>
      </c>
      <c r="L139" s="3">
        <v>4.2</v>
      </c>
    </row>
    <row r="140" spans="1:12" x14ac:dyDescent="0.25">
      <c r="A140">
        <v>9.35906161883127E-2</v>
      </c>
      <c r="B140">
        <v>0.28748783016402002</v>
      </c>
      <c r="C140">
        <v>0.61892155364766799</v>
      </c>
      <c r="D140">
        <v>0</v>
      </c>
      <c r="E140">
        <v>-0.604146251780599</v>
      </c>
      <c r="F140">
        <v>-0.55722886713625897</v>
      </c>
      <c r="G140">
        <v>1</v>
      </c>
      <c r="H140" s="3">
        <v>47.6</v>
      </c>
      <c r="I140" s="3">
        <v>5</v>
      </c>
      <c r="J140" s="3">
        <v>35.700000000000003</v>
      </c>
      <c r="K140" s="3">
        <v>3.5</v>
      </c>
      <c r="L140" s="3">
        <v>8.1999999999999993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汇总数据</vt:lpstr>
      <vt:lpstr>坡度加权值</vt:lpstr>
      <vt:lpstr>整理后的原始数据</vt:lpstr>
      <vt:lpstr>z-score归一化过程 </vt:lpstr>
      <vt:lpstr>归一化表</vt:lpstr>
      <vt:lpstr>input_data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linyatin@outlook.com</cp:lastModifiedBy>
  <dcterms:created xsi:type="dcterms:W3CDTF">2024-03-26T07:45:00Z</dcterms:created>
  <dcterms:modified xsi:type="dcterms:W3CDTF">2026-03-01T00:17:05Z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7BF8B1193FB64144B32E72820BC94A30_13</vt:lpwstr>
  </property>
</Properties>
</file>