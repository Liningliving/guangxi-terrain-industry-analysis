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<sst xmlns="http://schemas.openxmlformats.org/spreadsheetml/2006/main" count="50" uniqueCount="48">
  <si>
    <t>地形地貌（坡度带)汇总表</t>
  </si>
  <si>
    <t>2024年</t>
  </si>
  <si>
    <r>
      <rPr>
        <sz val="11"/>
        <color theme="1"/>
        <rFont val="宋体"/>
        <charset val="134"/>
        <scheme val="minor"/>
      </rPr>
      <t>1.普查所在行政区名称：</t>
    </r>
    <r>
      <rPr>
        <u/>
        <sz val="11"/>
        <color theme="1"/>
        <rFont val="宋体"/>
        <charset val="134"/>
        <scheme val="minor"/>
      </rPr>
      <t>广西壮族自治区</t>
    </r>
  </si>
  <si>
    <t>2.行政区划代码：450000</t>
  </si>
  <si>
    <t>统计单元代码</t>
  </si>
  <si>
    <t>统计单元名称</t>
  </si>
  <si>
    <t>坡度带</t>
  </si>
  <si>
    <t>表面面积</t>
  </si>
  <si>
    <t>表面面积占比</t>
  </si>
  <si>
    <t>面积</t>
  </si>
  <si>
    <t>面积占比</t>
  </si>
  <si>
    <t>平方米</t>
  </si>
  <si>
    <t>%</t>
  </si>
  <si>
    <t>广西</t>
  </si>
  <si>
    <t>0-2</t>
  </si>
  <si>
    <t>2-3</t>
  </si>
  <si>
    <t>3-5</t>
  </si>
  <si>
    <t>5-6</t>
  </si>
  <si>
    <t>6-8</t>
  </si>
  <si>
    <t>8-10</t>
  </si>
  <si>
    <t>10-15</t>
  </si>
  <si>
    <t>15-25</t>
  </si>
  <si>
    <t>25-35</t>
  </si>
  <si>
    <t>&gt;35</t>
  </si>
  <si>
    <t>总计</t>
  </si>
  <si>
    <t>广西各市坡度带面积统计表</t>
  </si>
  <si>
    <t>名称</t>
  </si>
  <si>
    <t>2</t>
  </si>
  <si>
    <t>3</t>
  </si>
  <si>
    <t>5</t>
  </si>
  <si>
    <t>6</t>
  </si>
  <si>
    <t>8</t>
  </si>
  <si>
    <t>10</t>
  </si>
  <si>
    <t>百色</t>
  </si>
  <si>
    <t>北海</t>
  </si>
  <si>
    <t>崇左</t>
  </si>
  <si>
    <t>防城港</t>
  </si>
  <si>
    <t>贵港</t>
  </si>
  <si>
    <t>桂林</t>
  </si>
  <si>
    <t>河池</t>
  </si>
  <si>
    <t>贺州</t>
  </si>
  <si>
    <t>来宾</t>
  </si>
  <si>
    <t>柳州</t>
  </si>
  <si>
    <t>南宁</t>
  </si>
  <si>
    <t>钦州</t>
  </si>
  <si>
    <t>梧州</t>
  </si>
  <si>
    <t>玉林</t>
  </si>
  <si>
    <t>总和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</si>
</sst>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.00_);[Red]\(0.00\)"/>
    <numFmt numFmtId="177" formatCode="0_);[Red]\(0\)"/>
  </numFmts>
  <fonts count="24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color theme="1"/>
      <name val="Arial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4" fillId="15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6" borderId="12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8" borderId="7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8" fillId="7" borderId="6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10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6" fontId="0" fillId="0" borderId="0" xfId="0" applyNumberFormat="1">
      <alignment vertical="center"/>
    </xf>
    <xf numFmtId="0" fontId="3" fillId="0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坡度分级面积占比</a:t>
            </a:r>
            <a:endParaRPr sz="1400" b="0" i="0" u="none" strike="noStrike" baseline="0">
              <a:solidFill>
                <a:srgbClr val="595959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[1]table_slop_TableToExcel!$E$22</c:f>
              <c:strCache>
                <c:ptCount val="1"/>
                <c:pt idx="0">
                  <c:v>面积（㎡）</c:v>
                </c:pt>
              </c:strCache>
            </c:strRef>
          </c:tx>
          <c:explosion val="0"/>
          <c:dPt>
            <c:idx val="0"/>
            <c:bubble3D val="0"/>
            <c:explosion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explosion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explosion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explosion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explosion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explosion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explosion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explosion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explosion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explosion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3"/>
              <c:layout>
                <c:manualLayout>
                  <c:x val="0.0255363346010605"/>
                  <c:y val="-0.0116008689855183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574652396672987"/>
                  <c:y val="0.00889659971857067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rgbClr val="969696">
                          <a:alpha val="100000"/>
                        </a:srgbClr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[1]table_slop_TableToExcel!$D$23:$D$32</c:f>
              <c:strCache>
                <c:ptCount val="10"/>
                <c:pt idx="0">
                  <c:v>0-2</c:v>
                </c:pt>
                <c:pt idx="1">
                  <c:v>2-3</c:v>
                </c:pt>
                <c:pt idx="2">
                  <c:v>3-5</c:v>
                </c:pt>
                <c:pt idx="3">
                  <c:v>5-6</c:v>
                </c:pt>
                <c:pt idx="4">
                  <c:v>6-8</c:v>
                </c:pt>
                <c:pt idx="5">
                  <c:v>8-10</c:v>
                </c:pt>
                <c:pt idx="6">
                  <c:v>10-15</c:v>
                </c:pt>
                <c:pt idx="7">
                  <c:v>15-25</c:v>
                </c:pt>
                <c:pt idx="8">
                  <c:v>25-35</c:v>
                </c:pt>
                <c:pt idx="9">
                  <c:v>&gt;35</c:v>
                </c:pt>
              </c:strCache>
            </c:strRef>
          </c:cat>
          <c:val>
            <c:numRef>
              <c:f>[1]table_slop_TableToExcel!$E$23:$E$32</c:f>
              <c:numCache>
                <c:formatCode>General</c:formatCode>
                <c:ptCount val="10"/>
                <c:pt idx="0">
                  <c:v>37918090479.6194</c:v>
                </c:pt>
                <c:pt idx="1">
                  <c:v>14235498984.6095</c:v>
                </c:pt>
                <c:pt idx="2">
                  <c:v>21322773697.3487</c:v>
                </c:pt>
                <c:pt idx="3">
                  <c:v>8884759882.46367</c:v>
                </c:pt>
                <c:pt idx="4">
                  <c:v>16305701011.468</c:v>
                </c:pt>
                <c:pt idx="5">
                  <c:v>15359872460.6785</c:v>
                </c:pt>
                <c:pt idx="6">
                  <c:v>37279830262.5948</c:v>
                </c:pt>
                <c:pt idx="7">
                  <c:v>59088506489.1291</c:v>
                </c:pt>
                <c:pt idx="8">
                  <c:v>22413300716.1129</c:v>
                </c:pt>
                <c:pt idx="9">
                  <c:v>4363558869.08407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坡度分级表面面积占比</a:t>
            </a:r>
          </a:p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>
        <c:manualLayout>
          <c:xMode val="edge"/>
          <c:yMode val="edge"/>
          <c:x val="0.293579253917626"/>
          <c:y val="0.0070339976553341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0226695999235783"/>
                  <c:y val="-0.017158646305941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106940326091894"/>
                  <c:y val="-0.038831582457135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0539879695265548"/>
                  <c:y val="-0.027710032725468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147800180119849"/>
                  <c:y val="0.0041887734900231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253338527906139"/>
                  <c:y val="0.032031464515537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173440591661349"/>
                  <c:y val="0.056753966052975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8125"/>
                      <c:h val="0.0594682835820896"/>
                    </c:manualLayout>
                  </c15:layout>
                </c:ext>
              </c:extLst>
            </c:dLbl>
            <c:dLbl>
              <c:idx val="7"/>
              <c:layout>
                <c:manualLayout>
                  <c:x val="0.0644130468006986"/>
                  <c:y val="0.11840548741302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674363747106657"/>
                  <c:y val="0.022784872342682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46106692819445"/>
                  <c:y val="-0.024430048737422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Sheet1!$C$8:$C$17</c:f>
              <c:strCache>
                <c:ptCount val="10"/>
                <c:pt idx="0">
                  <c:v>0-2</c:v>
                </c:pt>
                <c:pt idx="1" c:formatCode="@">
                  <c:v>2-3</c:v>
                </c:pt>
                <c:pt idx="2" c:formatCode="@">
                  <c:v>3-5</c:v>
                </c:pt>
                <c:pt idx="3" c:formatCode="@">
                  <c:v>5-6</c:v>
                </c:pt>
                <c:pt idx="4" c:formatCode="@">
                  <c:v>6-8</c:v>
                </c:pt>
                <c:pt idx="5" c:formatCode="@">
                  <c:v>8-10</c:v>
                </c:pt>
                <c:pt idx="6" c:formatCode="@">
                  <c:v>10-15</c:v>
                </c:pt>
                <c:pt idx="7">
                  <c:v>15-25</c:v>
                </c:pt>
                <c:pt idx="8">
                  <c:v>25-35</c:v>
                </c:pt>
                <c:pt idx="9">
                  <c:v>&gt;35</c:v>
                </c:pt>
              </c:strCache>
            </c:strRef>
          </c:cat>
          <c:val>
            <c:numRef>
              <c:f>Sheet1!$E$8:$E$17</c:f>
              <c:numCache>
                <c:formatCode>0.00%</c:formatCode>
                <c:ptCount val="10"/>
                <c:pt idx="0">
                  <c:v>0.0607382433875892</c:v>
                </c:pt>
                <c:pt idx="1">
                  <c:v>0.0245624437286039</c:v>
                </c:pt>
                <c:pt idx="2">
                  <c:v>0.0516880099292874</c:v>
                </c:pt>
                <c:pt idx="3">
                  <c:v>0.0141500072367771</c:v>
                </c:pt>
                <c:pt idx="4">
                  <c:v>0.0267862689988615</c:v>
                </c:pt>
                <c:pt idx="5">
                  <c:v>0.0131420812141281</c:v>
                </c:pt>
                <c:pt idx="6">
                  <c:v>0.645267930045104</c:v>
                </c:pt>
                <c:pt idx="7">
                  <c:v>0.113783083885181</c:v>
                </c:pt>
                <c:pt idx="8">
                  <c:v>0.0387036753249807</c:v>
                </c:pt>
                <c:pt idx="9">
                  <c:v>0.0111782562494874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533400</xdr:colOff>
      <xdr:row>4</xdr:row>
      <xdr:rowOff>0</xdr:rowOff>
    </xdr:from>
    <xdr:to>
      <xdr:col>13</xdr:col>
      <xdr:colOff>91440</xdr:colOff>
      <xdr:row>17</xdr:row>
      <xdr:rowOff>101600</xdr:rowOff>
    </xdr:to>
    <xdr:graphicFrame>
      <xdr:nvGraphicFramePr>
        <xdr:cNvPr id="2" name="图表 1"/>
        <xdr:cNvGraphicFramePr/>
      </xdr:nvGraphicFramePr>
      <xdr:xfrm>
        <a:off x="7940040" y="8128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552450</xdr:colOff>
      <xdr:row>4</xdr:row>
      <xdr:rowOff>24765</xdr:rowOff>
    </xdr:from>
    <xdr:to>
      <xdr:col>19</xdr:col>
      <xdr:colOff>689610</xdr:colOff>
      <xdr:row>17</xdr:row>
      <xdr:rowOff>126365</xdr:rowOff>
    </xdr:to>
    <xdr:graphicFrame>
      <xdr:nvGraphicFramePr>
        <xdr:cNvPr id="3" name="图表 2"/>
        <xdr:cNvGraphicFramePr/>
      </xdr:nvGraphicFramePr>
      <xdr:xfrm>
        <a:off x="12973050" y="83756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2369;&#24230;&#32479;&#3574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able_slop_TableToExcel"/>
    </sheetNames>
    <sheetDataSet>
      <sheetData sheetId="0">
        <row r="22">
          <cell r="E22" t="str">
            <v>面积（㎡）</v>
          </cell>
        </row>
        <row r="23">
          <cell r="D23" t="str">
            <v>0-2</v>
          </cell>
          <cell r="E23">
            <v>37918090479.6194</v>
          </cell>
        </row>
        <row r="24">
          <cell r="D24" t="str">
            <v>2-3</v>
          </cell>
          <cell r="E24">
            <v>14235498984.6095</v>
          </cell>
        </row>
        <row r="25">
          <cell r="D25" t="str">
            <v>3-5</v>
          </cell>
          <cell r="E25">
            <v>21322773697.3487</v>
          </cell>
        </row>
        <row r="26">
          <cell r="D26" t="str">
            <v>5-6</v>
          </cell>
          <cell r="E26">
            <v>8884759882.46367</v>
          </cell>
        </row>
        <row r="27">
          <cell r="D27" t="str">
            <v>6-8</v>
          </cell>
          <cell r="E27">
            <v>16305701011.468</v>
          </cell>
        </row>
        <row r="28">
          <cell r="D28" t="str">
            <v>8-10</v>
          </cell>
          <cell r="E28">
            <v>15359872460.6785</v>
          </cell>
        </row>
        <row r="29">
          <cell r="D29" t="str">
            <v>10-15</v>
          </cell>
          <cell r="E29">
            <v>37279830262.5948</v>
          </cell>
        </row>
        <row r="30">
          <cell r="D30" t="str">
            <v>15-25</v>
          </cell>
          <cell r="E30">
            <v>59088506489.1291</v>
          </cell>
        </row>
        <row r="31">
          <cell r="D31" t="str">
            <v>25-35</v>
          </cell>
          <cell r="E31">
            <v>22413300716.1129</v>
          </cell>
        </row>
        <row r="32">
          <cell r="D32" t="str">
            <v>&gt;35</v>
          </cell>
          <cell r="E32">
            <v>4363558869.08407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tabSelected="1" zoomScale="163" zoomScaleNormal="163" topLeftCell="J4" workbookViewId="0">
      <selection activeCell="J19" sqref="J19"/>
    </sheetView>
  </sheetViews>
  <sheetFormatPr defaultColWidth="10.7777777777778" defaultRowHeight="14.4"/>
  <cols>
    <col min="1" max="2" width="16.7777777777778" customWidth="1"/>
    <col min="3" max="3" width="10.7777777777778" customWidth="1"/>
    <col min="4" max="4" width="18.2222222222222" customWidth="1"/>
    <col min="5" max="5" width="16.7777777777778" customWidth="1"/>
    <col min="6" max="6" width="16.5555555555556" customWidth="1"/>
    <col min="7" max="7" width="12.1111111111111" customWidth="1"/>
    <col min="8" max="11" width="12.8888888888889"/>
  </cols>
  <sheetData>
    <row r="1" ht="16" customHeight="1" spans="1:7">
      <c r="A1" s="1" t="s">
        <v>0</v>
      </c>
      <c r="B1" s="1"/>
      <c r="C1" s="1"/>
      <c r="D1" s="1"/>
      <c r="E1" s="1"/>
      <c r="F1" s="1"/>
      <c r="G1" s="1"/>
    </row>
    <row r="2" ht="16" customHeight="1" spans="4:5">
      <c r="D2" s="1" t="s">
        <v>1</v>
      </c>
      <c r="E2" s="1"/>
    </row>
    <row r="3" ht="16" customHeight="1" spans="1:3">
      <c r="A3" s="2" t="s">
        <v>2</v>
      </c>
      <c r="B3" s="2"/>
      <c r="C3" s="2"/>
    </row>
    <row r="4" ht="16" customHeight="1" spans="1:2">
      <c r="A4" s="3" t="s">
        <v>3</v>
      </c>
      <c r="B4" s="3"/>
    </row>
    <row r="5" ht="20" customHeight="1" spans="1:7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ht="20" customHeight="1" spans="1:7">
      <c r="A6" s="4"/>
      <c r="B6" s="4"/>
      <c r="C6" s="4"/>
      <c r="D6" s="4" t="s">
        <v>11</v>
      </c>
      <c r="E6" s="4" t="s">
        <v>12</v>
      </c>
      <c r="F6" s="4" t="s">
        <v>11</v>
      </c>
      <c r="G6" s="4" t="s">
        <v>12</v>
      </c>
    </row>
    <row r="7" ht="16" customHeight="1" spans="1:7">
      <c r="A7" s="4"/>
      <c r="B7" s="4"/>
      <c r="C7" s="4"/>
      <c r="D7" s="4">
        <v>1</v>
      </c>
      <c r="E7" s="4">
        <v>2</v>
      </c>
      <c r="F7" s="4">
        <v>3</v>
      </c>
      <c r="G7" s="4">
        <v>4</v>
      </c>
    </row>
    <row r="8" ht="16" customHeight="1" spans="1:7">
      <c r="A8" s="5">
        <v>1</v>
      </c>
      <c r="B8" s="5" t="s">
        <v>13</v>
      </c>
      <c r="C8" s="6" t="s">
        <v>14</v>
      </c>
      <c r="D8" s="7">
        <v>36181149620.0486</v>
      </c>
      <c r="E8" s="8">
        <f>D8/$D$18</f>
        <v>0.0607382433875892</v>
      </c>
      <c r="F8" s="9">
        <f>SUM(B22:B35)</f>
        <v>37918090479.6194</v>
      </c>
      <c r="G8" s="8">
        <f>F8/F18</f>
        <v>0.15987598708884</v>
      </c>
    </row>
    <row r="9" ht="16" customHeight="1" spans="1:7">
      <c r="A9" s="10"/>
      <c r="B9" s="10"/>
      <c r="C9" s="11" t="s">
        <v>15</v>
      </c>
      <c r="D9" s="7">
        <v>14631596207.1474</v>
      </c>
      <c r="E9" s="8">
        <f t="shared" ref="E9:E18" si="0">D9/$D$18</f>
        <v>0.0245624437286039</v>
      </c>
      <c r="F9" s="9">
        <f>SUM(C22:C35)</f>
        <v>14235498984.6095</v>
      </c>
      <c r="G9" s="8">
        <f>F9/F18</f>
        <v>0.0600218635242171</v>
      </c>
    </row>
    <row r="10" ht="16" customHeight="1" spans="1:7">
      <c r="A10" s="10"/>
      <c r="B10" s="10"/>
      <c r="C10" s="11" t="s">
        <v>16</v>
      </c>
      <c r="D10" s="7">
        <v>30790018224.2715</v>
      </c>
      <c r="E10" s="8">
        <f t="shared" si="0"/>
        <v>0.0516880099292874</v>
      </c>
      <c r="F10" s="9">
        <f>SUM(D22:D35)</f>
        <v>21322773697.3487</v>
      </c>
      <c r="G10" s="8">
        <f>F10/$F$18</f>
        <v>0.0899043029122968</v>
      </c>
    </row>
    <row r="11" ht="16" customHeight="1" spans="1:7">
      <c r="A11" s="10"/>
      <c r="B11" s="10"/>
      <c r="C11" s="11" t="s">
        <v>17</v>
      </c>
      <c r="D11" s="7">
        <v>8429014413.40025</v>
      </c>
      <c r="E11" s="8">
        <f t="shared" si="0"/>
        <v>0.0141500072367771</v>
      </c>
      <c r="F11" s="9">
        <f>SUM(E22:E35)</f>
        <v>8884759882.46367</v>
      </c>
      <c r="G11" s="8">
        <f t="shared" ref="G11:G17" si="1">F11/$F$18</f>
        <v>0.03746126817804</v>
      </c>
    </row>
    <row r="12" ht="16" customHeight="1" spans="1:7">
      <c r="A12" s="10"/>
      <c r="B12" s="10"/>
      <c r="C12" s="11" t="s">
        <v>18</v>
      </c>
      <c r="D12" s="7">
        <v>15956306148.4374</v>
      </c>
      <c r="E12" s="8">
        <f t="shared" si="0"/>
        <v>0.0267862689988615</v>
      </c>
      <c r="F12" s="9">
        <f>SUM(F22:F35)</f>
        <v>16305701011.468</v>
      </c>
      <c r="G12" s="8">
        <f t="shared" si="1"/>
        <v>0.0687505623677208</v>
      </c>
    </row>
    <row r="13" spans="1:7">
      <c r="A13" s="10"/>
      <c r="B13" s="10"/>
      <c r="C13" s="11" t="s">
        <v>19</v>
      </c>
      <c r="D13" s="7">
        <v>7828603202.97571</v>
      </c>
      <c r="E13" s="8">
        <f t="shared" si="0"/>
        <v>0.0131420812141281</v>
      </c>
      <c r="F13" s="9">
        <f>SUM(G22:G35)</f>
        <v>15359872460.6785</v>
      </c>
      <c r="G13" s="8">
        <f t="shared" si="1"/>
        <v>0.0647626170028149</v>
      </c>
    </row>
    <row r="14" spans="1:7">
      <c r="A14" s="10"/>
      <c r="B14" s="10"/>
      <c r="C14" s="11" t="s">
        <v>20</v>
      </c>
      <c r="D14" s="7">
        <v>384379498317.059</v>
      </c>
      <c r="E14" s="8">
        <f t="shared" si="0"/>
        <v>0.645267930045104</v>
      </c>
      <c r="F14" s="9">
        <f>SUM(H22:H35)</f>
        <v>37279830262.5948</v>
      </c>
      <c r="G14" s="8">
        <f t="shared" si="1"/>
        <v>0.157184857843521</v>
      </c>
    </row>
    <row r="15" spans="1:7">
      <c r="A15" s="10"/>
      <c r="B15" s="10"/>
      <c r="C15" s="6" t="s">
        <v>21</v>
      </c>
      <c r="D15" s="7">
        <v>67779417919.7726</v>
      </c>
      <c r="E15" s="8">
        <f t="shared" si="0"/>
        <v>0.113783083885181</v>
      </c>
      <c r="F15" s="9">
        <f>SUM(I22:I35)</f>
        <v>59088506489.1291</v>
      </c>
      <c r="G15" s="8">
        <f t="shared" si="1"/>
        <v>0.249137896478</v>
      </c>
    </row>
    <row r="16" spans="1:7">
      <c r="A16" s="10"/>
      <c r="B16" s="10"/>
      <c r="C16" s="6" t="s">
        <v>22</v>
      </c>
      <c r="D16" s="7">
        <v>23055383061.4246</v>
      </c>
      <c r="E16" s="8">
        <f t="shared" si="0"/>
        <v>0.0387036753249807</v>
      </c>
      <c r="F16" s="9">
        <f>SUM(J22:J35)</f>
        <v>22413300716.1129</v>
      </c>
      <c r="G16" s="8">
        <f t="shared" si="1"/>
        <v>0.0945023478393136</v>
      </c>
    </row>
    <row r="17" spans="1:7">
      <c r="A17" s="10"/>
      <c r="B17" s="12"/>
      <c r="C17" s="9" t="s">
        <v>23</v>
      </c>
      <c r="D17" s="7">
        <v>6658772781.31142</v>
      </c>
      <c r="E17" s="8">
        <f t="shared" si="0"/>
        <v>0.0111782562494874</v>
      </c>
      <c r="F17" s="9">
        <f>SUM(K22:K35)</f>
        <v>4363558869.08407</v>
      </c>
      <c r="G17" s="8">
        <f t="shared" si="1"/>
        <v>0.0183982967652352</v>
      </c>
    </row>
    <row r="18" spans="1:7">
      <c r="A18" s="12">
        <v>2</v>
      </c>
      <c r="B18" s="4" t="s">
        <v>24</v>
      </c>
      <c r="C18" s="4"/>
      <c r="D18" s="13">
        <f>SUM(D8:D17)</f>
        <v>595689759895.849</v>
      </c>
      <c r="E18" s="4">
        <f t="shared" si="0"/>
        <v>1</v>
      </c>
      <c r="F18" s="14">
        <f>SUM(F8:F17)</f>
        <v>237171892853.109</v>
      </c>
      <c r="G18" s="4">
        <f>SUM(G8:G17)</f>
        <v>1</v>
      </c>
    </row>
    <row r="19" ht="58" customHeight="1" spans="4:4">
      <c r="D19" s="15"/>
    </row>
    <row r="20" spans="1:11">
      <c r="A20" s="4" t="s">
        <v>25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4" t="s">
        <v>26</v>
      </c>
      <c r="B21" s="6">
        <v>0</v>
      </c>
      <c r="C21" s="11" t="s">
        <v>27</v>
      </c>
      <c r="D21" s="11" t="s">
        <v>28</v>
      </c>
      <c r="E21" s="11" t="s">
        <v>29</v>
      </c>
      <c r="F21" s="11" t="s">
        <v>30</v>
      </c>
      <c r="G21" s="11" t="s">
        <v>31</v>
      </c>
      <c r="H21" s="11" t="s">
        <v>32</v>
      </c>
      <c r="I21" s="6">
        <v>15</v>
      </c>
      <c r="J21" s="6">
        <v>25</v>
      </c>
      <c r="K21" s="9">
        <v>35</v>
      </c>
    </row>
    <row r="22" spans="1:11">
      <c r="A22" s="16" t="s">
        <v>33</v>
      </c>
      <c r="B22" s="17">
        <v>1245940289.55429</v>
      </c>
      <c r="C22" s="17">
        <v>709041134.563593</v>
      </c>
      <c r="D22" s="17">
        <v>1554821632.43875</v>
      </c>
      <c r="E22" s="17">
        <v>859477938.690554</v>
      </c>
      <c r="F22" s="17">
        <v>1914075516.5467</v>
      </c>
      <c r="G22" s="17">
        <v>2198722925.68084</v>
      </c>
      <c r="H22" s="17">
        <v>6884844368.47564</v>
      </c>
      <c r="I22" s="17">
        <v>14604843586.9513</v>
      </c>
      <c r="J22" s="17">
        <v>5503088684.99023</v>
      </c>
      <c r="K22" s="17">
        <v>963505543.936476</v>
      </c>
    </row>
    <row r="23" spans="1:11">
      <c r="A23" s="16" t="s">
        <v>34</v>
      </c>
      <c r="B23" s="17">
        <v>2438646974.80354</v>
      </c>
      <c r="C23" s="17">
        <v>471110914.103969</v>
      </c>
      <c r="D23" s="17">
        <v>313412034.846478</v>
      </c>
      <c r="E23" s="17">
        <v>54327778.5713605</v>
      </c>
      <c r="F23" s="17">
        <v>64394181.8214918</v>
      </c>
      <c r="G23" s="17">
        <v>39544268.4842113</v>
      </c>
      <c r="H23" s="17">
        <v>57910186.1692333</v>
      </c>
      <c r="I23" s="17">
        <v>35118941.4515449</v>
      </c>
      <c r="J23" s="17">
        <v>1077964.27718797</v>
      </c>
      <c r="K23" s="17">
        <v>0</v>
      </c>
    </row>
    <row r="24" spans="1:11">
      <c r="A24" s="16" t="s">
        <v>35</v>
      </c>
      <c r="B24" s="17">
        <v>2622208891.71897</v>
      </c>
      <c r="C24" s="17">
        <v>1234212362.41827</v>
      </c>
      <c r="D24" s="17">
        <v>1997054450.90647</v>
      </c>
      <c r="E24" s="17">
        <v>840982341.092487</v>
      </c>
      <c r="F24" s="17">
        <v>1464791352.80714</v>
      </c>
      <c r="G24" s="17">
        <v>1284317438.82109</v>
      </c>
      <c r="H24" s="17">
        <v>2830523462.03691</v>
      </c>
      <c r="I24" s="17">
        <v>3616537729.98737</v>
      </c>
      <c r="J24" s="17">
        <v>1250430456.54348</v>
      </c>
      <c r="K24" s="17">
        <v>277125974.177526</v>
      </c>
    </row>
    <row r="25" spans="1:11">
      <c r="A25" s="16" t="s">
        <v>36</v>
      </c>
      <c r="B25" s="17">
        <v>1035883145.40481</v>
      </c>
      <c r="C25" s="17">
        <v>542507811.2299</v>
      </c>
      <c r="D25" s="17">
        <v>792984563.276644</v>
      </c>
      <c r="E25" s="17">
        <v>294130252.775574</v>
      </c>
      <c r="F25" s="17">
        <v>480180403.022565</v>
      </c>
      <c r="G25" s="17">
        <v>401480905.793278</v>
      </c>
      <c r="H25" s="17">
        <v>866926428.696086</v>
      </c>
      <c r="I25" s="17">
        <v>1172006529.12941</v>
      </c>
      <c r="J25" s="17">
        <v>375155883.445109</v>
      </c>
      <c r="K25" s="17">
        <v>54830288.2344106</v>
      </c>
    </row>
    <row r="26" spans="1:11">
      <c r="A26" s="16" t="s">
        <v>37</v>
      </c>
      <c r="B26" s="17">
        <v>4205730309.91353</v>
      </c>
      <c r="C26" s="17">
        <v>916504680.452167</v>
      </c>
      <c r="D26" s="17">
        <v>1116082066.62868</v>
      </c>
      <c r="E26" s="17">
        <v>426655018.913172</v>
      </c>
      <c r="F26" s="17">
        <v>724092109.471398</v>
      </c>
      <c r="G26" s="17">
        <v>586947496.431566</v>
      </c>
      <c r="H26" s="17">
        <v>1106882897.79704</v>
      </c>
      <c r="I26" s="17">
        <v>1167686567.02609</v>
      </c>
      <c r="J26" s="17">
        <v>318988271.10742</v>
      </c>
      <c r="K26" s="17">
        <v>42227021.6853332</v>
      </c>
    </row>
    <row r="27" spans="1:11">
      <c r="A27" s="16" t="s">
        <v>38</v>
      </c>
      <c r="B27" s="17">
        <v>3605125897.6394</v>
      </c>
      <c r="C27" s="17">
        <v>1178385159.85232</v>
      </c>
      <c r="D27" s="17">
        <v>1677425885.22839</v>
      </c>
      <c r="E27" s="17">
        <v>720979791.558314</v>
      </c>
      <c r="F27" s="17">
        <v>1429737251.31212</v>
      </c>
      <c r="G27" s="17">
        <v>1474128306.54639</v>
      </c>
      <c r="H27" s="17">
        <v>4134357727.7713</v>
      </c>
      <c r="I27" s="17">
        <v>8656717755.37374</v>
      </c>
      <c r="J27" s="17">
        <v>4246498432.57711</v>
      </c>
      <c r="K27" s="17">
        <v>530966298.96888</v>
      </c>
    </row>
    <row r="28" spans="1:11">
      <c r="A28" s="16" t="s">
        <v>39</v>
      </c>
      <c r="B28" s="17">
        <v>2165241193.13149</v>
      </c>
      <c r="C28" s="17">
        <v>1152149292.44437</v>
      </c>
      <c r="D28" s="17">
        <v>2178022769.56101</v>
      </c>
      <c r="E28" s="17">
        <v>1041969996.32337</v>
      </c>
      <c r="F28" s="17">
        <v>2052119783.98328</v>
      </c>
      <c r="G28" s="17">
        <v>2057720335.22792</v>
      </c>
      <c r="H28" s="17">
        <v>5451281559.72869</v>
      </c>
      <c r="I28" s="17">
        <v>10348975780.6567</v>
      </c>
      <c r="J28" s="17">
        <v>5357547297.58072</v>
      </c>
      <c r="K28" s="17">
        <v>1756814306.99573</v>
      </c>
    </row>
    <row r="29" spans="1:11">
      <c r="A29" s="16" t="s">
        <v>40</v>
      </c>
      <c r="B29" s="17">
        <v>1531617032.99823</v>
      </c>
      <c r="C29" s="17">
        <v>535886030.670031</v>
      </c>
      <c r="D29" s="17">
        <v>802126997.146328</v>
      </c>
      <c r="E29" s="17">
        <v>369749852.070038</v>
      </c>
      <c r="F29" s="17">
        <v>760135020.303389</v>
      </c>
      <c r="G29" s="17">
        <v>815856857.939986</v>
      </c>
      <c r="H29" s="17">
        <v>2245683264.19232</v>
      </c>
      <c r="I29" s="17">
        <v>3570306840.98677</v>
      </c>
      <c r="J29" s="17">
        <v>1039400713.04616</v>
      </c>
      <c r="K29" s="17">
        <v>83068089.2999961</v>
      </c>
    </row>
    <row r="30" spans="1:11">
      <c r="A30" s="16" t="s">
        <v>41</v>
      </c>
      <c r="B30" s="17">
        <v>3156846753.22594</v>
      </c>
      <c r="C30" s="17">
        <v>901113295.772619</v>
      </c>
      <c r="D30" s="17">
        <v>1261745028.95667</v>
      </c>
      <c r="E30" s="17">
        <v>508272314.185975</v>
      </c>
      <c r="F30" s="17">
        <v>898657482.419326</v>
      </c>
      <c r="G30" s="17">
        <v>800546523.20609</v>
      </c>
      <c r="H30" s="17">
        <v>1781745270.27867</v>
      </c>
      <c r="I30" s="17">
        <v>2690679885.80682</v>
      </c>
      <c r="J30" s="17">
        <v>1165198333.69454</v>
      </c>
      <c r="K30" s="17">
        <v>218996953.155029</v>
      </c>
    </row>
    <row r="31" spans="1:11">
      <c r="A31" s="16" t="s">
        <v>42</v>
      </c>
      <c r="B31" s="17">
        <v>2532770276.69063</v>
      </c>
      <c r="C31" s="17">
        <v>905344102.935718</v>
      </c>
      <c r="D31" s="17">
        <v>1535353435.49285</v>
      </c>
      <c r="E31" s="17">
        <v>726288562.9986</v>
      </c>
      <c r="F31" s="17">
        <v>1426511463.47512</v>
      </c>
      <c r="G31" s="17">
        <v>1411833318.31732</v>
      </c>
      <c r="H31" s="17">
        <v>3494962811.50753</v>
      </c>
      <c r="I31" s="17">
        <v>4957517185.81464</v>
      </c>
      <c r="J31" s="17">
        <v>1441351708.52423</v>
      </c>
      <c r="K31" s="17">
        <v>179671519.524082</v>
      </c>
    </row>
    <row r="32" spans="1:11">
      <c r="A32" s="16" t="s">
        <v>43</v>
      </c>
      <c r="B32" s="17">
        <v>6690446073.82637</v>
      </c>
      <c r="C32" s="17">
        <v>2355384365.63397</v>
      </c>
      <c r="D32" s="17">
        <v>3006977298.71855</v>
      </c>
      <c r="E32" s="17">
        <v>1042464400.99185</v>
      </c>
      <c r="F32" s="17">
        <v>1641755804.14641</v>
      </c>
      <c r="G32" s="17">
        <v>1297463740.00605</v>
      </c>
      <c r="H32" s="17">
        <v>2399905100.78129</v>
      </c>
      <c r="I32" s="17">
        <v>2546905387.21256</v>
      </c>
      <c r="J32" s="17">
        <v>919625103.359817</v>
      </c>
      <c r="K32" s="17">
        <v>219718297.671343</v>
      </c>
    </row>
    <row r="33" spans="1:11">
      <c r="A33" s="16" t="s">
        <v>44</v>
      </c>
      <c r="B33" s="17">
        <v>2952681940.12546</v>
      </c>
      <c r="C33" s="17">
        <v>1458591031.96467</v>
      </c>
      <c r="D33" s="17">
        <v>1947135789.37865</v>
      </c>
      <c r="E33" s="17">
        <v>622463582.616812</v>
      </c>
      <c r="F33" s="17">
        <v>882666328.141944</v>
      </c>
      <c r="G33" s="17">
        <v>628607168.497327</v>
      </c>
      <c r="H33" s="17">
        <v>1077875122.24775</v>
      </c>
      <c r="I33" s="17">
        <v>1030979623.69279</v>
      </c>
      <c r="J33" s="17">
        <v>129923062.882129</v>
      </c>
      <c r="K33" s="17">
        <v>3760717.4783099</v>
      </c>
    </row>
    <row r="34" spans="1:11">
      <c r="A34" s="16" t="s">
        <v>45</v>
      </c>
      <c r="B34" s="17">
        <v>958569602.246194</v>
      </c>
      <c r="C34" s="17">
        <v>617592480.883053</v>
      </c>
      <c r="D34" s="17">
        <v>1319590375.16938</v>
      </c>
      <c r="E34" s="17">
        <v>683251041.856735</v>
      </c>
      <c r="F34" s="17">
        <v>1395971843.95298</v>
      </c>
      <c r="G34" s="17">
        <v>1379615964.92016</v>
      </c>
      <c r="H34" s="17">
        <v>3040280721.38747</v>
      </c>
      <c r="I34" s="17">
        <v>2786294506.69394</v>
      </c>
      <c r="J34" s="17">
        <v>356595445.890519</v>
      </c>
      <c r="K34" s="17">
        <v>16461243.9621712</v>
      </c>
    </row>
    <row r="35" spans="1:11">
      <c r="A35" s="16" t="s">
        <v>46</v>
      </c>
      <c r="B35" s="17">
        <v>2776382098.34055</v>
      </c>
      <c r="C35" s="17">
        <v>1257676321.68488</v>
      </c>
      <c r="D35" s="17">
        <v>1820041369.59982</v>
      </c>
      <c r="E35" s="17">
        <v>693747009.818828</v>
      </c>
      <c r="F35" s="17">
        <v>1170612470.06418</v>
      </c>
      <c r="G35" s="17">
        <v>983087210.806296</v>
      </c>
      <c r="H35" s="17">
        <v>1906651341.52486</v>
      </c>
      <c r="I35" s="17">
        <v>1903936168.34548</v>
      </c>
      <c r="J35" s="17">
        <v>308419358.194239</v>
      </c>
      <c r="K35" s="17">
        <v>16412613.9947792</v>
      </c>
    </row>
    <row r="36" spans="1:11">
      <c r="A36" s="18" t="s">
        <v>47</v>
      </c>
      <c r="B36" s="9">
        <f t="shared" ref="B36:K36" si="2">SUM(B22:B35)</f>
        <v>37918090479.6194</v>
      </c>
      <c r="C36" s="9">
        <f t="shared" si="2"/>
        <v>14235498984.6095</v>
      </c>
      <c r="D36" s="9">
        <f t="shared" si="2"/>
        <v>21322773697.3487</v>
      </c>
      <c r="E36" s="9">
        <f t="shared" si="2"/>
        <v>8884759882.46367</v>
      </c>
      <c r="F36" s="9">
        <f t="shared" si="2"/>
        <v>16305701011.468</v>
      </c>
      <c r="G36" s="9">
        <f t="shared" si="2"/>
        <v>15359872460.6785</v>
      </c>
      <c r="H36" s="9">
        <f t="shared" si="2"/>
        <v>37279830262.5948</v>
      </c>
      <c r="I36" s="9">
        <f t="shared" si="2"/>
        <v>59088506489.1291</v>
      </c>
      <c r="J36" s="9">
        <f t="shared" si="2"/>
        <v>22413300716.1129</v>
      </c>
      <c r="K36" s="9">
        <f t="shared" si="2"/>
        <v>4363558869.08407</v>
      </c>
    </row>
  </sheetData>
  <mergeCells count="10">
    <mergeCell ref="A1:G1"/>
    <mergeCell ref="D2:E2"/>
    <mergeCell ref="A3:C3"/>
    <mergeCell ref="A4:B4"/>
    <mergeCell ref="A20:K20"/>
    <mergeCell ref="A5:A7"/>
    <mergeCell ref="A8:A17"/>
    <mergeCell ref="B5:B7"/>
    <mergeCell ref="B8:B17"/>
    <mergeCell ref="C5:C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手写童话</cp:lastModifiedBy>
  <dcterms:created xsi:type="dcterms:W3CDTF">2024-03-26T07:45:00Z</dcterms:created>
  <dcterms:modified xsi:type="dcterms:W3CDTF">2024-04-19T07:03:44Z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