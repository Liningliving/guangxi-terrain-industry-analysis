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<sst xmlns="http://schemas.openxmlformats.org/spreadsheetml/2006/main" count="69" uniqueCount="43">
  <si>
    <t>地形地貌（高程带)汇总表</t>
  </si>
  <si>
    <t>2024年</t>
  </si>
  <si>
    <r>
      <rPr>
        <sz val="11"/>
        <color theme="1"/>
        <rFont val="宋体"/>
        <charset val="134"/>
        <scheme val="minor"/>
      </rPr>
      <t>1.普查所在行政区名称：</t>
    </r>
    <r>
      <rPr>
        <u/>
        <sz val="11"/>
        <color theme="1"/>
        <rFont val="宋体"/>
        <charset val="134"/>
        <scheme val="minor"/>
      </rPr>
      <t>广西壮族自治区</t>
    </r>
  </si>
  <si>
    <t>2.行政区划代码：450000</t>
  </si>
  <si>
    <t>统计单元代码</t>
  </si>
  <si>
    <t>统计单元名称</t>
  </si>
  <si>
    <t>高程带</t>
  </si>
  <si>
    <t>面积</t>
  </si>
  <si>
    <t>面积占比</t>
  </si>
  <si>
    <t>平方米</t>
  </si>
  <si>
    <t>%</t>
  </si>
  <si>
    <t>广西</t>
  </si>
  <si>
    <t>0-50</t>
  </si>
  <si>
    <t>50-100</t>
  </si>
  <si>
    <t>100-200</t>
  </si>
  <si>
    <t>200-500</t>
  </si>
  <si>
    <t>500-800</t>
  </si>
  <si>
    <t>800-1000</t>
  </si>
  <si>
    <t>1000-1200</t>
  </si>
  <si>
    <t>1200-1500</t>
  </si>
  <si>
    <t>1500-2000</t>
  </si>
  <si>
    <t>2000-2500</t>
  </si>
  <si>
    <t>总计</t>
  </si>
  <si>
    <t>广西各市高程带面积统计表</t>
  </si>
  <si>
    <t>Rowid</t>
  </si>
  <si>
    <t>市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</si>
  <si>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</si>
  <si>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</si>
  <si>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</si>
  <si>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</si>
  <si>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</si>
  <si>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</si>
  <si>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</si>
  <si>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</si>
  <si>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</si>
  <si>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</si>
  <si>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</si>
  <si>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</si>
  <si>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</si>
  <si>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</si>
  <si>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代号</t>
  </si>
  <si>
    <t>名称</t>
  </si>
  <si>
    <t>平均高程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</si>
</sst>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0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8" fillId="19" borderId="3" applyNumberFormat="0" applyAlignment="0" applyProtection="0">
      <alignment vertical="center"/>
    </xf>
    <xf numFmtId="0" fontId="6" fillId="10" borderId="4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高程分级面积占比</a:t>
            </a:r>
          </a:p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353730711433239"/>
          <c:y val="0.01149752376387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[1]Sheet1!$F$1</c:f>
              <c:strCache>
                <c:ptCount val="1"/>
                <c:pt idx="0">
                  <c:v>Area（㎡）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689157358477644"/>
                  <c:y val="0.038609721455307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34426676567262"/>
                  <c:y val="0.027231045863532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16570616827361"/>
                  <c:y val="-0.0066709058581202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04159274386798"/>
                  <c:y val="-0.02568449270879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36168425514895"/>
                  <c:y val="0.027481293743735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446223008624553"/>
                  <c:y val="0.05571460913296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816920455584313"/>
                  <c:y val="0.049535725509764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909103601980153"/>
                  <c:y val="0.0024182380844392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290528406018999"/>
                  <c:y val="-0.039064023772602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581480252314688"/>
                  <c:y val="-0.015086205689253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.00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[1]Sheet1!$E$2:$E$11</c:f>
              <c:strCache>
                <c:ptCount val="10"/>
                <c:pt idx="0">
                  <c:v>0-50</c:v>
                </c:pt>
                <c:pt idx="1">
                  <c:v>50-100</c:v>
                </c:pt>
                <c:pt idx="2">
                  <c:v>100-200</c:v>
                </c:pt>
                <c:pt idx="3">
                  <c:v>200-500</c:v>
                </c:pt>
                <c:pt idx="4">
                  <c:v>500-800</c:v>
                </c:pt>
                <c:pt idx="5">
                  <c:v>800-1000</c:v>
                </c:pt>
                <c:pt idx="6">
                  <c:v>1000-1200</c:v>
                </c:pt>
                <c:pt idx="7">
                  <c:v>1200-1500</c:v>
                </c:pt>
                <c:pt idx="8">
                  <c:v>1500-2000</c:v>
                </c:pt>
                <c:pt idx="9">
                  <c:v>2000-2500</c:v>
                </c:pt>
              </c:strCache>
            </c:strRef>
          </c:cat>
          <c:val>
            <c:numRef>
              <c:f>[1]Sheet1!$F$2:$F$11</c:f>
              <c:numCache>
                <c:formatCode>General</c:formatCode>
                <c:ptCount val="10"/>
                <c:pt idx="0">
                  <c:v>12617393554.8665</c:v>
                </c:pt>
                <c:pt idx="1">
                  <c:v>22244473679.7788</c:v>
                </c:pt>
                <c:pt idx="2">
                  <c:v>52303450814.8271</c:v>
                </c:pt>
                <c:pt idx="3">
                  <c:v>78703809088.0289</c:v>
                </c:pt>
                <c:pt idx="4">
                  <c:v>40153480401.547</c:v>
                </c:pt>
                <c:pt idx="5">
                  <c:v>17465663519.0358</c:v>
                </c:pt>
                <c:pt idx="6">
                  <c:v>8329081455.23795</c:v>
                </c:pt>
                <c:pt idx="7">
                  <c:v>4349715538.45675</c:v>
                </c:pt>
                <c:pt idx="8">
                  <c:v>1002652667.70779</c:v>
                </c:pt>
                <c:pt idx="9">
                  <c:v>2520653.30986778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495300</xdr:colOff>
      <xdr:row>4</xdr:row>
      <xdr:rowOff>73660</xdr:rowOff>
    </xdr:from>
    <xdr:to>
      <xdr:col>11</xdr:col>
      <xdr:colOff>655320</xdr:colOff>
      <xdr:row>17</xdr:row>
      <xdr:rowOff>114935</xdr:rowOff>
    </xdr:to>
    <xdr:graphicFrame>
      <xdr:nvGraphicFramePr>
        <xdr:cNvPr id="3" name="图表 2"/>
        <xdr:cNvGraphicFramePr/>
      </xdr:nvGraphicFramePr>
      <xdr:xfrm>
        <a:off x="5935980" y="886460"/>
        <a:ext cx="5265420" cy="268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9640;&#31243;&#32479;&#3574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zoomScale="130" zoomScaleNormal="130" topLeftCell="B1" workbookViewId="0">
      <selection activeCell="M15" sqref="M15"/>
    </sheetView>
  </sheetViews>
  <sheetFormatPr defaultColWidth="10.7777777777778" defaultRowHeight="14.4"/>
  <cols>
    <col min="1" max="2" width="16.7777777777778" customWidth="1"/>
    <col min="3" max="3" width="10.7777777777778" customWidth="1"/>
    <col min="4" max="4" width="18.2222222222222" customWidth="1"/>
    <col min="5" max="5" width="16.7777777777778" customWidth="1"/>
    <col min="6" max="6" width="10.7777777777778" customWidth="1"/>
    <col min="7" max="7" width="12.1111111111111" customWidth="1"/>
    <col min="8" max="14" width="12.8888888888889"/>
  </cols>
  <sheetData>
    <row r="1" ht="16" customHeight="1" spans="1:7">
      <c r="A1" s="1" t="s">
        <v>0</v>
      </c>
      <c r="B1" s="1"/>
      <c r="C1" s="1"/>
      <c r="D1" s="1"/>
      <c r="E1" s="1"/>
      <c r="F1" s="1"/>
      <c r="G1" s="1"/>
    </row>
    <row r="2" ht="16" customHeight="1" spans="4:5">
      <c r="D2" s="1" t="s">
        <v>1</v>
      </c>
      <c r="E2" s="1"/>
    </row>
    <row r="3" ht="16" customHeight="1" spans="1:3">
      <c r="A3" s="2" t="s">
        <v>2</v>
      </c>
      <c r="B3" s="2"/>
      <c r="C3" s="2"/>
    </row>
    <row r="4" ht="16" customHeight="1" spans="1:2">
      <c r="A4" s="3" t="s">
        <v>3</v>
      </c>
      <c r="B4" s="3"/>
    </row>
    <row r="5" ht="20" customHeight="1" spans="1: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</row>
    <row r="6" ht="20" customHeight="1" spans="1:5">
      <c r="A6" s="4"/>
      <c r="B6" s="4"/>
      <c r="C6" s="4"/>
      <c r="D6" s="4" t="s">
        <v>9</v>
      </c>
      <c r="E6" s="4" t="s">
        <v>10</v>
      </c>
    </row>
    <row r="7" ht="16" customHeight="1" spans="1:5">
      <c r="A7" s="4"/>
      <c r="B7" s="4"/>
      <c r="C7" s="4"/>
      <c r="D7" s="4">
        <v>1</v>
      </c>
      <c r="E7" s="4">
        <v>2</v>
      </c>
    </row>
    <row r="8" ht="16" customHeight="1" spans="1:5">
      <c r="A8" s="4">
        <v>1</v>
      </c>
      <c r="B8" s="4" t="s">
        <v>11</v>
      </c>
      <c r="C8" s="4" t="s">
        <v>12</v>
      </c>
      <c r="D8" s="4">
        <v>12617393554.8665</v>
      </c>
      <c r="E8" s="5">
        <v>0.0531992845445772</v>
      </c>
    </row>
    <row r="9" ht="16" customHeight="1" spans="1:5">
      <c r="A9" s="4"/>
      <c r="B9" s="4"/>
      <c r="C9" s="4" t="s">
        <v>13</v>
      </c>
      <c r="D9" s="4">
        <v>22244473679.7788</v>
      </c>
      <c r="E9" s="5">
        <v>0.0937903759353274</v>
      </c>
    </row>
    <row r="10" ht="16" customHeight="1" spans="1:5">
      <c r="A10" s="4"/>
      <c r="B10" s="4"/>
      <c r="C10" s="4" t="s">
        <v>14</v>
      </c>
      <c r="D10" s="4">
        <v>52303450814.8271</v>
      </c>
      <c r="E10" s="5">
        <v>0.220529394637775</v>
      </c>
    </row>
    <row r="11" ht="16" customHeight="1" spans="1:5">
      <c r="A11" s="4"/>
      <c r="B11" s="4"/>
      <c r="C11" s="4" t="s">
        <v>15</v>
      </c>
      <c r="D11" s="4">
        <v>78703809088.0289</v>
      </c>
      <c r="E11" s="5">
        <v>0.331842413903401</v>
      </c>
    </row>
    <row r="12" ht="16" customHeight="1" spans="1:5">
      <c r="A12" s="4"/>
      <c r="B12" s="4"/>
      <c r="C12" s="4" t="s">
        <v>16</v>
      </c>
      <c r="D12" s="4">
        <v>40153480401.547</v>
      </c>
      <c r="E12" s="5">
        <v>0.169300927330835</v>
      </c>
    </row>
    <row r="13" spans="1:5">
      <c r="A13" s="4"/>
      <c r="B13" s="4"/>
      <c r="C13" s="4" t="s">
        <v>17</v>
      </c>
      <c r="D13" s="4">
        <v>17465663519.0358</v>
      </c>
      <c r="E13" s="5">
        <v>0.0736412634882621</v>
      </c>
    </row>
    <row r="14" spans="1:5">
      <c r="A14" s="4"/>
      <c r="B14" s="4"/>
      <c r="C14" s="4" t="s">
        <v>18</v>
      </c>
      <c r="D14" s="4">
        <v>8329081455.23795</v>
      </c>
      <c r="E14" s="5">
        <v>0.0351182811573045</v>
      </c>
    </row>
    <row r="15" spans="1:5">
      <c r="A15" s="4"/>
      <c r="B15" s="4"/>
      <c r="C15" s="4" t="s">
        <v>19</v>
      </c>
      <c r="D15" s="4">
        <v>4349715538.45675</v>
      </c>
      <c r="E15" s="5">
        <v>0.0183399014710988</v>
      </c>
    </row>
    <row r="16" spans="1:5">
      <c r="A16" s="4"/>
      <c r="B16" s="4"/>
      <c r="C16" s="4" t="s">
        <v>20</v>
      </c>
      <c r="D16" s="4">
        <v>1002652667.70779</v>
      </c>
      <c r="E16" s="5">
        <v>0.00422752958737605</v>
      </c>
    </row>
    <row r="17" spans="1:5">
      <c r="A17" s="4"/>
      <c r="B17" s="4"/>
      <c r="C17" s="4" t="s">
        <v>21</v>
      </c>
      <c r="D17" s="4">
        <v>2520653.30986778</v>
      </c>
      <c r="E17" s="5">
        <v>1.06279440430203e-5</v>
      </c>
    </row>
    <row r="18" spans="1:5">
      <c r="A18" s="4">
        <v>2</v>
      </c>
      <c r="B18" s="4" t="s">
        <v>22</v>
      </c>
      <c r="C18" s="4"/>
      <c r="D18" s="6">
        <f>SUM(D8:D17)</f>
        <v>237172241372.796</v>
      </c>
      <c r="E18" s="4">
        <f>SUM(E8:E17)</f>
        <v>1</v>
      </c>
    </row>
    <row r="21" spans="1:13">
      <c r="A21" s="4" t="s">
        <v>23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4" t="s">
        <v>24</v>
      </c>
      <c r="B22" s="4" t="s">
        <v>25</v>
      </c>
      <c r="C22" s="4" t="s">
        <v>12</v>
      </c>
      <c r="D22" s="4" t="s">
        <v>13</v>
      </c>
      <c r="E22" s="7" t="s">
        <v>14</v>
      </c>
      <c r="F22" s="7" t="s">
        <v>15</v>
      </c>
      <c r="G22" s="7" t="s">
        <v>16</v>
      </c>
      <c r="H22" s="7" t="s">
        <v>17</v>
      </c>
      <c r="I22" s="7" t="s">
        <v>18</v>
      </c>
      <c r="J22" s="7" t="s">
        <v>19</v>
      </c>
      <c r="K22" s="7" t="s">
        <v>20</v>
      </c>
      <c r="L22" s="7" t="s">
        <v>21</v>
      </c>
      <c r="M22" s="9" t="s">
        <v>22</v>
      </c>
    </row>
    <row r="23" spans="1:13">
      <c r="A23" s="4">
        <v>1</v>
      </c>
      <c r="B23" s="4" t="s">
        <v>26</v>
      </c>
      <c r="C23" s="4">
        <v>0</v>
      </c>
      <c r="D23" s="4">
        <v>32849542.973254</v>
      </c>
      <c r="E23" s="7">
        <v>1785441147.80045</v>
      </c>
      <c r="F23" s="7">
        <v>7753108121.275</v>
      </c>
      <c r="G23" s="7">
        <v>10425673344.2283</v>
      </c>
      <c r="H23" s="7">
        <v>8388110130.48437</v>
      </c>
      <c r="I23" s="7">
        <v>4921822789.74895</v>
      </c>
      <c r="J23" s="7">
        <v>2652148741.64327</v>
      </c>
      <c r="K23" s="7">
        <v>478956548.843201</v>
      </c>
      <c r="L23" s="7">
        <v>251254.831525</v>
      </c>
      <c r="M23" s="9">
        <f>SUM(C23:L23)</f>
        <v>36438361621.8283</v>
      </c>
    </row>
    <row r="24" spans="1:13">
      <c r="A24" s="4">
        <v>2</v>
      </c>
      <c r="B24" s="4" t="s">
        <v>27</v>
      </c>
      <c r="C24" s="4">
        <v>3104302073.45895</v>
      </c>
      <c r="D24" s="4">
        <v>297947705.215841</v>
      </c>
      <c r="E24" s="7">
        <v>65026371.397587</v>
      </c>
      <c r="F24" s="7">
        <v>8258989.462064</v>
      </c>
      <c r="G24" s="7">
        <v>8104.994565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9">
        <f t="shared" ref="M24:M36" si="0">SUM(C24:L24)</f>
        <v>3475543244.52901</v>
      </c>
    </row>
    <row r="25" spans="1:13">
      <c r="A25" s="4">
        <v>3</v>
      </c>
      <c r="B25" s="4" t="s">
        <v>28</v>
      </c>
      <c r="C25" s="4">
        <v>8104.994565</v>
      </c>
      <c r="D25" s="4">
        <v>480982797.484532</v>
      </c>
      <c r="E25" s="7">
        <v>5777418436.04272</v>
      </c>
      <c r="F25" s="7">
        <v>8503144318.35</v>
      </c>
      <c r="G25" s="7">
        <v>2569688526.93567</v>
      </c>
      <c r="H25" s="7">
        <v>78164567.587976</v>
      </c>
      <c r="I25" s="7">
        <v>7950999.668582</v>
      </c>
      <c r="J25" s="7">
        <v>826709.445663</v>
      </c>
      <c r="K25" s="7">
        <v>0</v>
      </c>
      <c r="L25" s="7">
        <v>0</v>
      </c>
      <c r="M25" s="9">
        <f t="shared" si="0"/>
        <v>17418184460.5097</v>
      </c>
    </row>
    <row r="26" spans="1:13">
      <c r="A26" s="4">
        <v>4</v>
      </c>
      <c r="B26" s="4" t="s">
        <v>29</v>
      </c>
      <c r="C26" s="4">
        <v>1351507843.76762</v>
      </c>
      <c r="D26" s="4">
        <v>430456261.364308</v>
      </c>
      <c r="E26" s="7">
        <v>1055237872.4268</v>
      </c>
      <c r="F26" s="7">
        <v>2335745963.80219</v>
      </c>
      <c r="G26" s="7">
        <v>653748861.638959</v>
      </c>
      <c r="H26" s="7">
        <v>142445279.485553</v>
      </c>
      <c r="I26" s="7">
        <v>41546202.141846</v>
      </c>
      <c r="J26" s="7">
        <v>5397926.380505</v>
      </c>
      <c r="K26" s="7">
        <v>0</v>
      </c>
      <c r="L26" s="7">
        <v>0</v>
      </c>
      <c r="M26" s="9">
        <f t="shared" si="0"/>
        <v>6016086211.00778</v>
      </c>
    </row>
    <row r="27" spans="1:13">
      <c r="A27" s="4">
        <v>5</v>
      </c>
      <c r="B27" s="4" t="s">
        <v>30</v>
      </c>
      <c r="C27" s="4">
        <v>2699295495.02976</v>
      </c>
      <c r="D27" s="4">
        <v>2774631419.51443</v>
      </c>
      <c r="E27" s="7">
        <v>2828618788.31405</v>
      </c>
      <c r="F27" s="7">
        <v>1882806447.51368</v>
      </c>
      <c r="G27" s="7">
        <v>353710067.825264</v>
      </c>
      <c r="H27" s="7">
        <v>58971940.457291</v>
      </c>
      <c r="I27" s="7">
        <v>12514111.608859</v>
      </c>
      <c r="J27" s="7">
        <v>1248169.16306</v>
      </c>
      <c r="K27" s="7">
        <v>0</v>
      </c>
      <c r="L27" s="7">
        <v>0</v>
      </c>
      <c r="M27" s="9">
        <f t="shared" si="0"/>
        <v>10611796439.4264</v>
      </c>
    </row>
    <row r="28" spans="1:13">
      <c r="A28" s="4">
        <v>6</v>
      </c>
      <c r="B28" s="4" t="s">
        <v>31</v>
      </c>
      <c r="C28" s="4">
        <v>8104.994565</v>
      </c>
      <c r="D28" s="4">
        <v>21437710.62528</v>
      </c>
      <c r="E28" s="7">
        <v>5099435640.65344</v>
      </c>
      <c r="F28" s="7">
        <v>10881336138.6907</v>
      </c>
      <c r="G28" s="7">
        <v>6112859846.11774</v>
      </c>
      <c r="H28" s="7">
        <v>2566033174.38671</v>
      </c>
      <c r="I28" s="7">
        <v>1482889805.6715</v>
      </c>
      <c r="J28" s="7">
        <v>1086174636.68264</v>
      </c>
      <c r="K28" s="7">
        <v>402615605.032423</v>
      </c>
      <c r="L28" s="7">
        <v>1531843.972846</v>
      </c>
      <c r="M28" s="9">
        <f t="shared" si="0"/>
        <v>27654322506.8279</v>
      </c>
    </row>
    <row r="29" spans="1:13">
      <c r="A29" s="4">
        <v>7</v>
      </c>
      <c r="B29" s="4" t="s">
        <v>32</v>
      </c>
      <c r="C29" s="4">
        <v>470089.684789</v>
      </c>
      <c r="D29" s="4">
        <v>4271332.135925</v>
      </c>
      <c r="E29" s="7">
        <v>1954106084.70482</v>
      </c>
      <c r="F29" s="7">
        <v>13871130848.9308</v>
      </c>
      <c r="G29" s="7">
        <v>12161341720.4031</v>
      </c>
      <c r="H29" s="7">
        <v>4494122226.53685</v>
      </c>
      <c r="I29" s="7">
        <v>986702038.382431</v>
      </c>
      <c r="J29" s="7">
        <v>85653582.566334</v>
      </c>
      <c r="K29" s="7">
        <v>4044392.288096</v>
      </c>
      <c r="L29" s="7">
        <v>0</v>
      </c>
      <c r="M29" s="9">
        <f t="shared" si="0"/>
        <v>33561842315.6331</v>
      </c>
    </row>
    <row r="30" spans="1:13">
      <c r="A30" s="4">
        <v>8</v>
      </c>
      <c r="B30" s="4" t="s">
        <v>33</v>
      </c>
      <c r="C30" s="4">
        <v>127588824.447316</v>
      </c>
      <c r="D30" s="4">
        <v>530860934.03953</v>
      </c>
      <c r="E30" s="7">
        <v>2565303724.87584</v>
      </c>
      <c r="F30" s="7">
        <v>5741999609.79225</v>
      </c>
      <c r="G30" s="7">
        <v>1993058688.58576</v>
      </c>
      <c r="H30" s="7">
        <v>456967698.58748</v>
      </c>
      <c r="I30" s="7">
        <v>206855671.296175</v>
      </c>
      <c r="J30" s="7">
        <v>107601907.849229</v>
      </c>
      <c r="K30" s="7">
        <v>23593639.179655</v>
      </c>
      <c r="L30" s="7">
        <v>0</v>
      </c>
      <c r="M30" s="9">
        <f t="shared" si="0"/>
        <v>11753830698.6532</v>
      </c>
    </row>
    <row r="31" spans="1:13">
      <c r="A31" s="4">
        <v>9</v>
      </c>
      <c r="B31" s="4" t="s">
        <v>34</v>
      </c>
      <c r="C31" s="4">
        <v>59847279.870346</v>
      </c>
      <c r="D31" s="4">
        <v>2554402507.18548</v>
      </c>
      <c r="E31" s="7">
        <v>4397737631.16603</v>
      </c>
      <c r="F31" s="7">
        <v>4289649423.64288</v>
      </c>
      <c r="G31" s="7">
        <v>1327954729.56079</v>
      </c>
      <c r="H31" s="7">
        <v>434257503.815445</v>
      </c>
      <c r="I31" s="7">
        <v>234096558.030226</v>
      </c>
      <c r="J31" s="7">
        <v>78440137.403197</v>
      </c>
      <c r="K31" s="7">
        <v>7416070.027271</v>
      </c>
      <c r="L31" s="7">
        <v>0</v>
      </c>
      <c r="M31" s="9">
        <f t="shared" si="0"/>
        <v>13383801840.7017</v>
      </c>
    </row>
    <row r="32" spans="1:13">
      <c r="A32" s="4">
        <v>10</v>
      </c>
      <c r="B32" s="4" t="s">
        <v>35</v>
      </c>
      <c r="C32" s="4">
        <v>0</v>
      </c>
      <c r="D32" s="4">
        <v>1035153695.89393</v>
      </c>
      <c r="E32" s="7">
        <v>5712797314.3734</v>
      </c>
      <c r="F32" s="7">
        <v>8105164770.20894</v>
      </c>
      <c r="G32" s="7">
        <v>2411487138.01513</v>
      </c>
      <c r="H32" s="7">
        <v>629142098.138638</v>
      </c>
      <c r="I32" s="7">
        <v>356652180.852476</v>
      </c>
      <c r="J32" s="7">
        <v>276283054.742733</v>
      </c>
      <c r="K32" s="7">
        <v>84186578.550011</v>
      </c>
      <c r="L32" s="7">
        <v>737554.505444</v>
      </c>
      <c r="M32" s="9">
        <f t="shared" si="0"/>
        <v>18611604385.2807</v>
      </c>
    </row>
    <row r="33" spans="1:13">
      <c r="A33" s="4">
        <v>11</v>
      </c>
      <c r="B33" s="4" t="s">
        <v>36</v>
      </c>
      <c r="C33" s="4">
        <v>87039536.637004</v>
      </c>
      <c r="D33" s="4">
        <v>4667787945.08803</v>
      </c>
      <c r="E33" s="7">
        <v>10186632739.5132</v>
      </c>
      <c r="F33" s="7">
        <v>6253716546.66849</v>
      </c>
      <c r="G33" s="7">
        <v>738308269.938974</v>
      </c>
      <c r="H33" s="7">
        <v>76276103.854255</v>
      </c>
      <c r="I33" s="7">
        <v>53882003.870268</v>
      </c>
      <c r="J33" s="7">
        <v>55170698.006154</v>
      </c>
      <c r="K33" s="7">
        <v>1831728.771763</v>
      </c>
      <c r="L33" s="7">
        <v>0</v>
      </c>
      <c r="M33" s="9">
        <f t="shared" si="0"/>
        <v>22120645572.3481</v>
      </c>
    </row>
    <row r="34" spans="1:13">
      <c r="A34" s="4">
        <v>12</v>
      </c>
      <c r="B34" s="4" t="s">
        <v>37</v>
      </c>
      <c r="C34" s="4">
        <v>3762695096.98384</v>
      </c>
      <c r="D34" s="4">
        <v>3470323628.02894</v>
      </c>
      <c r="E34" s="7">
        <v>2120485413.14177</v>
      </c>
      <c r="F34" s="7">
        <v>1266016361.09259</v>
      </c>
      <c r="G34" s="7">
        <v>111062740.528622</v>
      </c>
      <c r="H34" s="7">
        <v>3849872.418528</v>
      </c>
      <c r="I34" s="7">
        <v>251254.831525</v>
      </c>
      <c r="J34" s="7">
        <v>0</v>
      </c>
      <c r="K34" s="7">
        <v>0</v>
      </c>
      <c r="L34" s="7">
        <v>0</v>
      </c>
      <c r="M34" s="9">
        <f t="shared" si="0"/>
        <v>10734684367.0258</v>
      </c>
    </row>
    <row r="35" spans="1:13">
      <c r="A35" s="4">
        <v>13</v>
      </c>
      <c r="B35" s="4" t="s">
        <v>38</v>
      </c>
      <c r="C35" s="4">
        <v>969057465.213722</v>
      </c>
      <c r="D35" s="4">
        <v>2193803193.97969</v>
      </c>
      <c r="E35" s="7">
        <v>3979682011.48667</v>
      </c>
      <c r="F35" s="7">
        <v>4580837563.39125</v>
      </c>
      <c r="G35" s="7">
        <v>773548786.308999</v>
      </c>
      <c r="H35" s="7">
        <v>53330864.239826</v>
      </c>
      <c r="I35" s="7">
        <v>3939027.358747</v>
      </c>
      <c r="J35" s="7">
        <v>24314.983696</v>
      </c>
      <c r="K35" s="7">
        <v>0</v>
      </c>
      <c r="L35" s="7">
        <v>0</v>
      </c>
      <c r="M35" s="9">
        <f t="shared" si="0"/>
        <v>12554223226.9626</v>
      </c>
    </row>
    <row r="36" spans="1:13">
      <c r="A36" s="4">
        <v>14</v>
      </c>
      <c r="B36" s="4" t="s">
        <v>39</v>
      </c>
      <c r="C36" s="4">
        <v>455565534.527679</v>
      </c>
      <c r="D36" s="4">
        <v>3749475850.8478</v>
      </c>
      <c r="E36" s="7">
        <v>4775495217.86661</v>
      </c>
      <c r="F36" s="7">
        <v>3230788618.64538</v>
      </c>
      <c r="G36" s="7">
        <v>521013365.642663</v>
      </c>
      <c r="H36" s="7">
        <v>83919113.729355</v>
      </c>
      <c r="I36" s="7">
        <v>19962601.614391</v>
      </c>
      <c r="J36" s="7">
        <v>745659.50001</v>
      </c>
      <c r="K36" s="7">
        <v>0</v>
      </c>
      <c r="L36" s="7">
        <v>0</v>
      </c>
      <c r="M36" s="9">
        <f t="shared" si="0"/>
        <v>12836965962.3739</v>
      </c>
    </row>
    <row r="38" spans="1:3">
      <c r="A38" s="4" t="s">
        <v>40</v>
      </c>
      <c r="B38" s="4" t="s">
        <v>41</v>
      </c>
      <c r="C38" s="4" t="s">
        <v>42</v>
      </c>
    </row>
    <row r="39" spans="1:4">
      <c r="A39" s="4">
        <v>1</v>
      </c>
      <c r="B39" s="4" t="s">
        <v>26</v>
      </c>
      <c r="C39" s="6">
        <f>25*(C23/M23)+75*(D23/M23)+150*(E23/M23)+350*(F23/M23)+650*(G23/M23)+900*(H23/M23)+1100*(I23/M23)+1350*(J23/M23)+1750*(K23/M23)+2250*(L23/M23)</f>
        <v>744.901759223238</v>
      </c>
      <c r="D39" s="8"/>
    </row>
    <row r="40" spans="1:4">
      <c r="A40" s="4">
        <v>2</v>
      </c>
      <c r="B40" s="4" t="s">
        <v>27</v>
      </c>
      <c r="C40" s="6">
        <f>25*(C24/M24)+75*(D24/M24)+150*(E24/M24)+350*(F24/M24)+650*(G24/M24)+900*(H24/M24)+1100*(I24/M24)+1350*(J24/M24)+1750*(K24/M24)+2250*(L24/M24)</f>
        <v>32.3988200039643</v>
      </c>
      <c r="D40" s="8"/>
    </row>
    <row r="41" spans="1:4">
      <c r="A41" s="4">
        <v>3</v>
      </c>
      <c r="B41" s="4" t="s">
        <v>28</v>
      </c>
      <c r="C41" s="6">
        <f t="shared" ref="C41:C52" si="1">25*(C25/M25)+75*(D25/M25)+150*(E25/M25)+350*(F25/M25)+650*(G25/M25)+900*(H25/M25)+1100*(I25/M25)+1350*(J25/M25)+1750*(K25/M25)+2250*(L25/M25)</f>
        <v>323.184945753229</v>
      </c>
      <c r="D41" s="8"/>
    </row>
    <row r="42" spans="1:4">
      <c r="A42" s="4">
        <v>4</v>
      </c>
      <c r="B42" s="4" t="s">
        <v>29</v>
      </c>
      <c r="C42" s="6">
        <f t="shared" si="1"/>
        <v>273.931283672092</v>
      </c>
      <c r="D42" s="8"/>
    </row>
    <row r="43" spans="1:4">
      <c r="A43" s="4">
        <v>5</v>
      </c>
      <c r="B43" s="4" t="s">
        <v>30</v>
      </c>
      <c r="C43" s="6">
        <f t="shared" si="1"/>
        <v>156.174467708096</v>
      </c>
      <c r="D43" s="8"/>
    </row>
    <row r="44" spans="1:4">
      <c r="A44" s="4">
        <v>6</v>
      </c>
      <c r="B44" s="4" t="s">
        <v>31</v>
      </c>
      <c r="C44" s="6">
        <f t="shared" si="1"/>
        <v>530.236033892046</v>
      </c>
      <c r="D44" s="8"/>
    </row>
    <row r="45" spans="1:4">
      <c r="A45" s="4">
        <v>7</v>
      </c>
      <c r="B45" s="4" t="s">
        <v>32</v>
      </c>
      <c r="C45" s="6">
        <f t="shared" si="1"/>
        <v>545.441100257819</v>
      </c>
      <c r="D45" s="8"/>
    </row>
    <row r="46" spans="1:4">
      <c r="A46" s="4">
        <v>8</v>
      </c>
      <c r="B46" s="4" t="s">
        <v>33</v>
      </c>
      <c r="C46" s="6">
        <f t="shared" si="1"/>
        <v>387.818370758159</v>
      </c>
      <c r="D46" s="8"/>
    </row>
    <row r="47" spans="1:4">
      <c r="A47" s="4">
        <v>9</v>
      </c>
      <c r="B47" s="4" t="s">
        <v>34</v>
      </c>
      <c r="C47" s="6">
        <f t="shared" si="1"/>
        <v>297.710262744027</v>
      </c>
      <c r="D47" s="8"/>
    </row>
    <row r="48" spans="1:4">
      <c r="A48" s="4">
        <v>10</v>
      </c>
      <c r="B48" s="4" t="s">
        <v>35</v>
      </c>
      <c r="C48" s="6">
        <f t="shared" si="1"/>
        <v>366.402794392576</v>
      </c>
      <c r="D48" s="8"/>
    </row>
    <row r="49" spans="1:4">
      <c r="A49" s="4">
        <v>11</v>
      </c>
      <c r="B49" s="4" t="s">
        <v>36</v>
      </c>
      <c r="C49" s="6">
        <f t="shared" si="1"/>
        <v>214.937706580646</v>
      </c>
      <c r="D49" s="8"/>
    </row>
    <row r="50" spans="1:4">
      <c r="A50" s="4">
        <v>12</v>
      </c>
      <c r="B50" s="4" t="s">
        <v>37</v>
      </c>
      <c r="C50" s="6">
        <f t="shared" si="1"/>
        <v>110.990895864179</v>
      </c>
      <c r="D50" s="8"/>
    </row>
    <row r="51" spans="1:4">
      <c r="A51" s="4">
        <v>13</v>
      </c>
      <c r="B51" s="4" t="s">
        <v>38</v>
      </c>
      <c r="C51" s="6">
        <f t="shared" si="1"/>
        <v>234.5168885483</v>
      </c>
      <c r="D51" s="8"/>
    </row>
    <row r="52" spans="1:4">
      <c r="A52" s="4">
        <v>14</v>
      </c>
      <c r="B52" s="4" t="s">
        <v>39</v>
      </c>
      <c r="C52" s="6">
        <f t="shared" si="1"/>
        <v>200.73680385697</v>
      </c>
      <c r="D52" s="8"/>
    </row>
    <row r="53" spans="1:4">
      <c r="A53" s="4">
        <v>15</v>
      </c>
      <c r="B53" s="4" t="s">
        <v>11</v>
      </c>
      <c r="C53" s="6">
        <f>C39*(M23/D18)+C40*(M24/D18)+C41*(M25/D18)+C42*(M26/D18)+C43*(M27/D18)+C44*(M28/D18)+C45*(M29/D18)+C46*(M30/D18)+C47*(M31/D18)+C48*(M32/D18)+C49*(M33/D18)+C50*(M34/D18)+C51*(M35/D18)+C52*(M36/D18)</f>
        <v>404.721658921399</v>
      </c>
      <c r="D53" s="8"/>
    </row>
  </sheetData>
  <mergeCells count="10">
    <mergeCell ref="A1:G1"/>
    <mergeCell ref="D2:E2"/>
    <mergeCell ref="A3:C3"/>
    <mergeCell ref="A4:B4"/>
    <mergeCell ref="A21:M21"/>
    <mergeCell ref="A5:A7"/>
    <mergeCell ref="A8:A17"/>
    <mergeCell ref="B5:B7"/>
    <mergeCell ref="B8:B17"/>
    <mergeCell ref="C5:C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手写童话</cp:lastModifiedBy>
  <dcterms:created xsi:type="dcterms:W3CDTF">2024-03-26T07:45:00Z</dcterms:created>
  <dcterms:modified xsi:type="dcterms:W3CDTF">2024-04-19T07:03:47Z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